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ummary" sheetId="3" state="visible" r:id="rId5"/>
  </sheets>
  <definedNames>
    <definedName function="false" hidden="false" localSheetId="0" name="_xlnm.Print_Area" vbProcedure="false">Dashboard!$A$1:$N$63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Manual entry: name of the external vendor if the trip used a hired/outsourced van. Leave blank for internally owned fleet vans.</t>
        </r>
      </text>
    </comment>
    <comment ref="Q1" authorId="0">
      <text>
        <r>
          <rPr>
            <sz val="10"/>
            <rFont val="Arial"/>
            <family val="2"/>
          </rPr>
          <t xml:space="preserve">Manual entry: total cost of the trip (fuel, driver fee, vendor charge, etc.). Used by the Summary and Dashboard cost totals.</t>
        </r>
      </text>
    </comment>
  </commentList>
</comments>
</file>

<file path=xl/sharedStrings.xml><?xml version="1.0" encoding="utf-8"?>
<sst xmlns="http://schemas.openxmlformats.org/spreadsheetml/2006/main" count="2768" uniqueCount="358">
  <si>
    <t xml:space="preserve">Van Trip Reservations — Admin Dashboard</t>
  </si>
  <si>
    <t xml:space="preserve">TOTAL REQUESTS</t>
  </si>
  <si>
    <t xml:space="preserve">APPROVED</t>
  </si>
  <si>
    <t xml:space="preserve">AVG TAT (hrs)</t>
  </si>
  <si>
    <t xml:space="preserve">SLA %</t>
  </si>
  <si>
    <t xml:space="preserve">PENDING NOW</t>
  </si>
  <si>
    <t xml:space="preserve">SLA Compliance</t>
  </si>
  <si>
    <t xml:space="preserve">TAT (turnaround time) is measured from submission to the first driver assignment (i.e. when a request is Approved). A trip is within SLA if that gap is 12 hours or less. If a driver is later reassigned, the first-assignment time still applies.</t>
  </si>
  <si>
    <t xml:space="preserve">SLA COMPLIANCE</t>
  </si>
  <si>
    <t xml:space="preserve">WITHIN SLA</t>
  </si>
  <si>
    <t xml:space="preserve">BREACHED SLA</t>
  </si>
  <si>
    <t xml:space="preserve">TRIPS ASSIGNED</t>
  </si>
  <si>
    <t xml:space="preserve">Reference</t>
  </si>
  <si>
    <t xml:space="preserve">Status</t>
  </si>
  <si>
    <t xml:space="preserve">Date Submitted (PHT)</t>
  </si>
  <si>
    <t xml:space="preserve">Start Date &amp; Time</t>
  </si>
  <si>
    <t xml:space="preserve">End Time</t>
  </si>
  <si>
    <t xml:space="preserve">Requestor</t>
  </si>
  <si>
    <t xml:space="preserve">Location</t>
  </si>
  <si>
    <t xml:space="preserve">From</t>
  </si>
  <si>
    <t xml:space="preserve">To</t>
  </si>
  <si>
    <t xml:space="preserve">Purpose</t>
  </si>
  <si>
    <t xml:space="preserve">Details</t>
  </si>
  <si>
    <t xml:space="preserve">Van Type</t>
  </si>
  <si>
    <t xml:space="preserve">Driver</t>
  </si>
  <si>
    <t xml:space="preserve">Van</t>
  </si>
  <si>
    <t xml:space="preserve">Plate Number</t>
  </si>
  <si>
    <t xml:space="preserve">Vendor</t>
  </si>
  <si>
    <t xml:space="preserve">Cost</t>
  </si>
  <si>
    <t xml:space="preserve">Updated By</t>
  </si>
  <si>
    <t xml:space="preserve">Last Updated (PHT)</t>
  </si>
  <si>
    <t xml:space="preserve">Month</t>
  </si>
  <si>
    <t xml:space="preserve">Weekday</t>
  </si>
  <si>
    <t xml:space="preserve">Lead Time (Days)</t>
  </si>
  <si>
    <t xml:space="preserve">Assigned</t>
  </si>
  <si>
    <t xml:space="preserve">TAT (Hrs)</t>
  </si>
  <si>
    <t xml:space="preserve">Within SLA (&lt;=12h)</t>
  </si>
  <si>
    <t xml:space="preserve">Pending Age (Days)</t>
  </si>
  <si>
    <t xml:space="preserve">VR-2025-000002</t>
  </si>
  <si>
    <t xml:space="preserve">Approved</t>
  </si>
  <si>
    <t xml:space="preserve">Mateo, Angel</t>
  </si>
  <si>
    <t xml:space="preserve">Iloilo</t>
  </si>
  <si>
    <t xml:space="preserve">GLS Building</t>
  </si>
  <si>
    <t xml:space="preserve">Standby</t>
  </si>
  <si>
    <t xml:space="preserve">Others</t>
  </si>
  <si>
    <t xml:space="preserve">Generated dashboard seed trip.</t>
  </si>
  <si>
    <t xml:space="preserve">Standby Van</t>
  </si>
  <si>
    <t xml:space="preserve">Padilla, Marlon</t>
  </si>
  <si>
    <t xml:space="preserve">VAN-001</t>
  </si>
  <si>
    <t xml:space="preserve">FAR 8931</t>
  </si>
  <si>
    <t xml:space="preserve">Abanto, Norlyn</t>
  </si>
  <si>
    <t xml:space="preserve">VR-2025-000001</t>
  </si>
  <si>
    <t xml:space="preserve">Cruz, Ivan</t>
  </si>
  <si>
    <t xml:space="preserve">AGT Tower lobby</t>
  </si>
  <si>
    <t xml:space="preserve">Ocampo, Dennis</t>
  </si>
  <si>
    <t xml:space="preserve">VAN-004</t>
  </si>
  <si>
    <t xml:space="preserve">NII 6324</t>
  </si>
  <si>
    <t xml:space="preserve">VR-2025-000003</t>
  </si>
  <si>
    <t xml:space="preserve">Salcedo, Liza</t>
  </si>
  <si>
    <t xml:space="preserve">IT-Related</t>
  </si>
  <si>
    <t xml:space="preserve">Pickup / Drop-Off</t>
  </si>
  <si>
    <t xml:space="preserve">Sarmiento, Joel</t>
  </si>
  <si>
    <t xml:space="preserve">VAN-002</t>
  </si>
  <si>
    <t xml:space="preserve">FAR 7820</t>
  </si>
  <si>
    <t xml:space="preserve">VR-2025-000004</t>
  </si>
  <si>
    <t xml:space="preserve">Cancelled</t>
  </si>
  <si>
    <t xml:space="preserve">Manila</t>
  </si>
  <si>
    <t xml:space="preserve">Hotel</t>
  </si>
  <si>
    <t xml:space="preserve">VR-2025-000005</t>
  </si>
  <si>
    <t xml:space="preserve">Rejected</t>
  </si>
  <si>
    <t xml:space="preserve">VR-2025-000006</t>
  </si>
  <si>
    <t xml:space="preserve">HR/TA Related</t>
  </si>
  <si>
    <t xml:space="preserve">VR-2025-000007</t>
  </si>
  <si>
    <t xml:space="preserve">Reyes, Kaye</t>
  </si>
  <si>
    <t xml:space="preserve">VR-2025-000008</t>
  </si>
  <si>
    <t xml:space="preserve">Arielle Jimera</t>
  </si>
  <si>
    <t xml:space="preserve">VR-2025-000009</t>
  </si>
  <si>
    <t xml:space="preserve">VR-2025-000010</t>
  </si>
  <si>
    <t xml:space="preserve">Airport</t>
  </si>
  <si>
    <t xml:space="preserve">VAN-003</t>
  </si>
  <si>
    <t xml:space="preserve">NHU 8001</t>
  </si>
  <si>
    <t xml:space="preserve">VR-2025-000011</t>
  </si>
  <si>
    <t xml:space="preserve">VR-2025-000012</t>
  </si>
  <si>
    <t xml:space="preserve">Pending</t>
  </si>
  <si>
    <t xml:space="preserve">VR-2025-000013</t>
  </si>
  <si>
    <t xml:space="preserve">VR-2025-000014</t>
  </si>
  <si>
    <t xml:space="preserve">VR-2025-000016</t>
  </si>
  <si>
    <t xml:space="preserve">VR-2025-000015</t>
  </si>
  <si>
    <t xml:space="preserve">Jimera, Arielle</t>
  </si>
  <si>
    <t xml:space="preserve">VR-2025-000018</t>
  </si>
  <si>
    <t xml:space="preserve">Villanueva, Rey</t>
  </si>
  <si>
    <t xml:space="preserve">VR-2025-000017</t>
  </si>
  <si>
    <t xml:space="preserve">VR-2025-000021</t>
  </si>
  <si>
    <t xml:space="preserve">VR-2025-000020</t>
  </si>
  <si>
    <t xml:space="preserve">VR-2025-000022</t>
  </si>
  <si>
    <t xml:space="preserve">VR-2025-000019</t>
  </si>
  <si>
    <t xml:space="preserve">Dizon, Marco</t>
  </si>
  <si>
    <t xml:space="preserve">VR-2025-000023</t>
  </si>
  <si>
    <t xml:space="preserve">VR-2025-000024</t>
  </si>
  <si>
    <t xml:space="preserve">VR-2025-000025</t>
  </si>
  <si>
    <t xml:space="preserve">VR-2025-000026</t>
  </si>
  <si>
    <t xml:space="preserve">VR-2025-000027</t>
  </si>
  <si>
    <t xml:space="preserve">VR-2025-000028</t>
  </si>
  <si>
    <t xml:space="preserve">VR-2025-000029</t>
  </si>
  <si>
    <t xml:space="preserve">VR-2025-000030</t>
  </si>
  <si>
    <t xml:space="preserve">VR-2025-000031</t>
  </si>
  <si>
    <t xml:space="preserve">VR-2025-000032</t>
  </si>
  <si>
    <t xml:space="preserve">VR-2025-000033</t>
  </si>
  <si>
    <t xml:space="preserve">VR-2025-000034</t>
  </si>
  <si>
    <t xml:space="preserve">VR-2025-000035</t>
  </si>
  <si>
    <t xml:space="preserve">VR-2025-000036</t>
  </si>
  <si>
    <t xml:space="preserve">VR-2025-000037</t>
  </si>
  <si>
    <t xml:space="preserve">VR-2025-000038</t>
  </si>
  <si>
    <t xml:space="preserve">VR-2025-000040</t>
  </si>
  <si>
    <t xml:space="preserve">VR-2025-000041</t>
  </si>
  <si>
    <t xml:space="preserve">VR-2025-000039</t>
  </si>
  <si>
    <t xml:space="preserve">VR-2025-000042</t>
  </si>
  <si>
    <t xml:space="preserve">VR-2025-000043</t>
  </si>
  <si>
    <t xml:space="preserve">VR-2025-000044</t>
  </si>
  <si>
    <t xml:space="preserve">VR-2025-000046</t>
  </si>
  <si>
    <t xml:space="preserve">VR-2025-000045</t>
  </si>
  <si>
    <t xml:space="preserve">VR-2025-000047</t>
  </si>
  <si>
    <t xml:space="preserve">VR-2025-000048</t>
  </si>
  <si>
    <t xml:space="preserve">VR-2025-000049</t>
  </si>
  <si>
    <t xml:space="preserve">VR-2025-000051</t>
  </si>
  <si>
    <t xml:space="preserve">VR-2025-000050</t>
  </si>
  <si>
    <t xml:space="preserve">VR-2025-000052</t>
  </si>
  <si>
    <t xml:space="preserve">VR-2025-000053</t>
  </si>
  <si>
    <t xml:space="preserve">VR-2025-000054</t>
  </si>
  <si>
    <t xml:space="preserve">VR-2025-000055</t>
  </si>
  <si>
    <t xml:space="preserve">VR-2025-000056</t>
  </si>
  <si>
    <t xml:space="preserve">Travel-Related (Airport Transfers)</t>
  </si>
  <si>
    <t xml:space="preserve">VR-2025-000057</t>
  </si>
  <si>
    <t xml:space="preserve">VR-2025-000058</t>
  </si>
  <si>
    <t xml:space="preserve">VR-2025-000059</t>
  </si>
  <si>
    <t xml:space="preserve">VR-2025-000060</t>
  </si>
  <si>
    <t xml:space="preserve">VR-2025-000061</t>
  </si>
  <si>
    <t xml:space="preserve">VR-2025-000062</t>
  </si>
  <si>
    <t xml:space="preserve">VR-2025-000063</t>
  </si>
  <si>
    <t xml:space="preserve">VR-2025-000064</t>
  </si>
  <si>
    <t xml:space="preserve">VR-2025-000066</t>
  </si>
  <si>
    <t xml:space="preserve">VR-2025-000067</t>
  </si>
  <si>
    <t xml:space="preserve">VR-2025-000065</t>
  </si>
  <si>
    <t xml:space="preserve">VR-2025-000068</t>
  </si>
  <si>
    <t xml:space="preserve">VR-2025-000069</t>
  </si>
  <si>
    <t xml:space="preserve">VR-2025-000070</t>
  </si>
  <si>
    <t xml:space="preserve">VR-2025-000071</t>
  </si>
  <si>
    <t xml:space="preserve">VR-2026-000001</t>
  </si>
  <si>
    <t xml:space="preserve">VR-2026-000002</t>
  </si>
  <si>
    <t xml:space="preserve">VR-2026-000005</t>
  </si>
  <si>
    <t xml:space="preserve">VR-2026-000003</t>
  </si>
  <si>
    <t xml:space="preserve">VR-2026-000004</t>
  </si>
  <si>
    <t xml:space="preserve">VR-2026-000006</t>
  </si>
  <si>
    <t xml:space="preserve">VR-2026-000007</t>
  </si>
  <si>
    <t xml:space="preserve">VR-2026-000008</t>
  </si>
  <si>
    <t xml:space="preserve">VR-2026-000010</t>
  </si>
  <si>
    <t xml:space="preserve">VR-2026-000009</t>
  </si>
  <si>
    <t xml:space="preserve">VR-2026-000011</t>
  </si>
  <si>
    <t xml:space="preserve">VR-2026-000012</t>
  </si>
  <si>
    <t xml:space="preserve">VR-2026-000013</t>
  </si>
  <si>
    <t xml:space="preserve">VR-2026-000014</t>
  </si>
  <si>
    <t xml:space="preserve">VR-2026-000015</t>
  </si>
  <si>
    <t xml:space="preserve">VR-2026-000016</t>
  </si>
  <si>
    <t xml:space="preserve">VR-2026-000017</t>
  </si>
  <si>
    <t xml:space="preserve">VR-2026-000018</t>
  </si>
  <si>
    <t xml:space="preserve">VR-2026-000019</t>
  </si>
  <si>
    <t xml:space="preserve">VR-2026-000021</t>
  </si>
  <si>
    <t xml:space="preserve">VR-2026-000020</t>
  </si>
  <si>
    <t xml:space="preserve">VR-2026-000022</t>
  </si>
  <si>
    <t xml:space="preserve">VR-2026-000023</t>
  </si>
  <si>
    <t xml:space="preserve">VR-2026-000024</t>
  </si>
  <si>
    <t xml:space="preserve">VR-2026-000025</t>
  </si>
  <si>
    <t xml:space="preserve">VR-2026-000026</t>
  </si>
  <si>
    <t xml:space="preserve">VR-2026-000027</t>
  </si>
  <si>
    <t xml:space="preserve">VR-2026-000028</t>
  </si>
  <si>
    <t xml:space="preserve">VR-2026-000029</t>
  </si>
  <si>
    <t xml:space="preserve">VR-2026-000031</t>
  </si>
  <si>
    <t xml:space="preserve">VR-2026-000034</t>
  </si>
  <si>
    <t xml:space="preserve">VR-2026-000032</t>
  </si>
  <si>
    <t xml:space="preserve">VR-2026-000030</t>
  </si>
  <si>
    <t xml:space="preserve">VR-2026-000033</t>
  </si>
  <si>
    <t xml:space="preserve">VR-2026-000035</t>
  </si>
  <si>
    <t xml:space="preserve">VR-2026-000036</t>
  </si>
  <si>
    <t xml:space="preserve">VR-2026-000037</t>
  </si>
  <si>
    <t xml:space="preserve">VR-2026-000038</t>
  </si>
  <si>
    <t xml:space="preserve">VR-2026-000039</t>
  </si>
  <si>
    <t xml:space="preserve">VR-2026-000040</t>
  </si>
  <si>
    <t xml:space="preserve">VR-2026-000041</t>
  </si>
  <si>
    <t xml:space="preserve">VR-2026-000042</t>
  </si>
  <si>
    <t xml:space="preserve">VR-2026-000043</t>
  </si>
  <si>
    <t xml:space="preserve">VR-2026-000044</t>
  </si>
  <si>
    <t xml:space="preserve">VR-2026-000045</t>
  </si>
  <si>
    <t xml:space="preserve">VR-2026-000047</t>
  </si>
  <si>
    <t xml:space="preserve">VR-2026-000048</t>
  </si>
  <si>
    <t xml:space="preserve">VR-2026-000049</t>
  </si>
  <si>
    <t xml:space="preserve">VR-2026-000046</t>
  </si>
  <si>
    <t xml:space="preserve">VR-2026-000050</t>
  </si>
  <si>
    <t xml:space="preserve">VR-2026-000051</t>
  </si>
  <si>
    <t xml:space="preserve">VR-2026-000052</t>
  </si>
  <si>
    <t xml:space="preserve">VR-2026-000053</t>
  </si>
  <si>
    <t xml:space="preserve">VR-2026-000054</t>
  </si>
  <si>
    <t xml:space="preserve">VR-2026-000055</t>
  </si>
  <si>
    <t xml:space="preserve">VR-2026-000056</t>
  </si>
  <si>
    <t xml:space="preserve">VR-2026-000057</t>
  </si>
  <si>
    <t xml:space="preserve">VR-2026-000058</t>
  </si>
  <si>
    <t xml:space="preserve">VR-2026-000060</t>
  </si>
  <si>
    <t xml:space="preserve">VR-2026-000059</t>
  </si>
  <si>
    <t xml:space="preserve">VR-2026-000061</t>
  </si>
  <si>
    <t xml:space="preserve">VR-2026-000062</t>
  </si>
  <si>
    <t xml:space="preserve">VR-2026-000063</t>
  </si>
  <si>
    <t xml:space="preserve">VR-2026-000064</t>
  </si>
  <si>
    <t xml:space="preserve">VR-2026-000065</t>
  </si>
  <si>
    <t xml:space="preserve">VR-2026-000066</t>
  </si>
  <si>
    <t xml:space="preserve">VR-2026-000068</t>
  </si>
  <si>
    <t xml:space="preserve">VR-2026-000067</t>
  </si>
  <si>
    <t xml:space="preserve">VR-2026-000069</t>
  </si>
  <si>
    <t xml:space="preserve">VR-2026-000070</t>
  </si>
  <si>
    <t xml:space="preserve">VR-2026-000071</t>
  </si>
  <si>
    <t xml:space="preserve">VR-2026-000072</t>
  </si>
  <si>
    <t xml:space="preserve">VR-2026-000073</t>
  </si>
  <si>
    <t xml:space="preserve">VR-2026-000074</t>
  </si>
  <si>
    <t xml:space="preserve">VR-2026-000075</t>
  </si>
  <si>
    <t xml:space="preserve">VR-2026-000076</t>
  </si>
  <si>
    <t xml:space="preserve">VR-2026-000078</t>
  </si>
  <si>
    <t xml:space="preserve">VR-2026-000077</t>
  </si>
  <si>
    <t xml:space="preserve">VR-2026-000079</t>
  </si>
  <si>
    <t xml:space="preserve">VR-2026-000080</t>
  </si>
  <si>
    <t xml:space="preserve">VR-2026-000081</t>
  </si>
  <si>
    <t xml:space="preserve">VR-2026-000083</t>
  </si>
  <si>
    <t xml:space="preserve">VR-2026-000082</t>
  </si>
  <si>
    <t xml:space="preserve">VR-2026-000084</t>
  </si>
  <si>
    <t xml:space="preserve">VR-2026-000085</t>
  </si>
  <si>
    <t xml:space="preserve">VR-2026-000086</t>
  </si>
  <si>
    <t xml:space="preserve">VR-2026-000088</t>
  </si>
  <si>
    <t xml:space="preserve">VR-2026-000087</t>
  </si>
  <si>
    <t xml:space="preserve">VR-2026-000089</t>
  </si>
  <si>
    <t xml:space="preserve">VR-2026-000090</t>
  </si>
  <si>
    <t xml:space="preserve">VR-2026-000092</t>
  </si>
  <si>
    <t xml:space="preserve">VR-2026-000094</t>
  </si>
  <si>
    <t xml:space="preserve">VR-2026-000091</t>
  </si>
  <si>
    <t xml:space="preserve">VR-2026-000093</t>
  </si>
  <si>
    <t xml:space="preserve">VR-2026-000095</t>
  </si>
  <si>
    <t xml:space="preserve">VR-2026-000096</t>
  </si>
  <si>
    <t xml:space="preserve">VR-2026-000097</t>
  </si>
  <si>
    <t xml:space="preserve">VR-2026-000098</t>
  </si>
  <si>
    <t xml:space="preserve">VR-2026-000099</t>
  </si>
  <si>
    <t xml:space="preserve">VR-2026-000100</t>
  </si>
  <si>
    <t xml:space="preserve">VR-2026-000101</t>
  </si>
  <si>
    <t xml:space="preserve">VR-2026-000102</t>
  </si>
  <si>
    <t xml:space="preserve">VR-2026-000103</t>
  </si>
  <si>
    <t xml:space="preserve">VR-2026-000104</t>
  </si>
  <si>
    <t xml:space="preserve">VR-2026-000105</t>
  </si>
  <si>
    <t xml:space="preserve">VR-2026-000106</t>
  </si>
  <si>
    <t xml:space="preserve">VR-2026-000109</t>
  </si>
  <si>
    <t xml:space="preserve">VR-2026-000107</t>
  </si>
  <si>
    <t xml:space="preserve">VR-2026-000108</t>
  </si>
  <si>
    <t xml:space="preserve">VR-2026-000110</t>
  </si>
  <si>
    <t xml:space="preserve">VR-2026-000112</t>
  </si>
  <si>
    <t xml:space="preserve">VR-2026-000113</t>
  </si>
  <si>
    <t xml:space="preserve">VR-2026-000114</t>
  </si>
  <si>
    <t xml:space="preserve">VR-2026-000111</t>
  </si>
  <si>
    <t xml:space="preserve">VR-2026-000115</t>
  </si>
  <si>
    <t xml:space="preserve">VR-2026-000116</t>
  </si>
  <si>
    <t xml:space="preserve">VR-2026-000119</t>
  </si>
  <si>
    <t xml:space="preserve">VR-2026-000118</t>
  </si>
  <si>
    <t xml:space="preserve">VR-2026-000120</t>
  </si>
  <si>
    <t xml:space="preserve">VR-2026-000121</t>
  </si>
  <si>
    <t xml:space="preserve">VR-2026-000122</t>
  </si>
  <si>
    <t xml:space="preserve">VR-2026-000123</t>
  </si>
  <si>
    <t xml:space="preserve">VR-2026-000124</t>
  </si>
  <si>
    <t xml:space="preserve">VR-2026-000127</t>
  </si>
  <si>
    <t xml:space="preserve">VR-2026-000126</t>
  </si>
  <si>
    <t xml:space="preserve">VR-2026-000128</t>
  </si>
  <si>
    <t xml:space="preserve">VR-2026-000129</t>
  </si>
  <si>
    <t xml:space="preserve">VR-2026-000132</t>
  </si>
  <si>
    <t xml:space="preserve">VR-2026-000131</t>
  </si>
  <si>
    <t xml:space="preserve">VR-2026-000135</t>
  </si>
  <si>
    <t xml:space="preserve">VR-2026-000134</t>
  </si>
  <si>
    <t xml:space="preserve">VR-2026-000125</t>
  </si>
  <si>
    <t xml:space="preserve">Standby coverage for a full-day site inspection.</t>
  </si>
  <si>
    <t xml:space="preserve">VR-2026-000133</t>
  </si>
  <si>
    <t xml:space="preserve">GLS Tower lobby</t>
  </si>
  <si>
    <t xml:space="preserve">AGT Building</t>
  </si>
  <si>
    <t xml:space="preserve">Late transfer for a guest arriving on a rebooked evening flight.</t>
  </si>
  <si>
    <t xml:space="preserve">VR-2026-000139</t>
  </si>
  <si>
    <t xml:space="preserve">VR-2026-000140</t>
  </si>
  <si>
    <t xml:space="preserve">VR-2026-000137</t>
  </si>
  <si>
    <t xml:space="preserve">Client meeting moved to a video call; the transfer is no longer needed.</t>
  </si>
  <si>
    <t xml:space="preserve">Buenaflor, Zara</t>
  </si>
  <si>
    <t xml:space="preserve">VR-2026-000138</t>
  </si>
  <si>
    <t xml:space="preserve">Dropping off a candidate for a 09:00 on-site interview.</t>
  </si>
  <si>
    <t xml:space="preserve">VR-2026-000141</t>
  </si>
  <si>
    <t xml:space="preserve">Picking up a visiting auditor arriving on the 06:30 flight.</t>
  </si>
  <si>
    <t xml:space="preserve">VR-2026-000142</t>
  </si>
  <si>
    <t xml:space="preserve">VR-2026-000143</t>
  </si>
  <si>
    <t xml:space="preserve">VR-2026-000130</t>
  </si>
  <si>
    <t xml:space="preserve">Standby coverage for an all-day offsite training session.</t>
  </si>
  <si>
    <t xml:space="preserve">VR-2026-000144</t>
  </si>
  <si>
    <t xml:space="preserve">VR-2026-000136</t>
  </si>
  <si>
    <t xml:space="preserve">Escorting a vendor rep to the terminal for a 07:15 departure.</t>
  </si>
  <si>
    <t xml:space="preserve">VR-2026-000145</t>
  </si>
  <si>
    <t xml:space="preserve">VR-2026-000146</t>
  </si>
  <si>
    <t xml:space="preserve">VR-2026-000147</t>
  </si>
  <si>
    <t xml:space="preserve">VR-2026-000117</t>
  </si>
  <si>
    <t xml:space="preserve">Standby coverage for a two-hour executive client visit.</t>
  </si>
  <si>
    <t xml:space="preserve">VR-2026-000149</t>
  </si>
  <si>
    <t xml:space="preserve">VR-2026-000148</t>
  </si>
  <si>
    <t xml:space="preserve">VR-2026-000150</t>
  </si>
  <si>
    <t xml:space="preserve">VR-2026-000151</t>
  </si>
  <si>
    <t xml:space="preserve">VR-2026-000152</t>
  </si>
  <si>
    <t xml:space="preserve">VR-2026-000153</t>
  </si>
  <si>
    <t xml:space="preserve">VR-2026-000154</t>
  </si>
  <si>
    <t xml:space="preserve">VR-2026-000156</t>
  </si>
  <si>
    <t xml:space="preserve">VR-2026-000155</t>
  </si>
  <si>
    <t xml:space="preserve">VR-2026-000158</t>
  </si>
  <si>
    <t xml:space="preserve">VR-2026-000157</t>
  </si>
  <si>
    <t xml:space="preserve">VR-2026-000159</t>
  </si>
  <si>
    <t xml:space="preserve">Status Breakdown</t>
  </si>
  <si>
    <t xml:space="preserve">Count</t>
  </si>
  <si>
    <t xml:space="preserve">% of Total</t>
  </si>
  <si>
    <t xml:space="preserve">Total</t>
  </si>
  <si>
    <t xml:space="preserve">Monthly Trend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</si>
  <si>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</si>
  <si>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</si>
  <si>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</si>
  <si>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</si>
  <si>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</si>
  <si>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</si>
  <si>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</si>
  <si>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</si>
  <si>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</si>
  <si>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</si>
  <si>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</si>
  <si>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</si>
  <si>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Trips by Purpose</t>
  </si>
  <si>
    <t xml:space="preserve">By Location</t>
  </si>
  <si>
    <t xml:space="preserve">By Van Type</t>
  </si>
  <si>
    <t xml:space="preserve">By Requestor</t>
  </si>
  <si>
    <t xml:space="preserve">Total Requests</t>
  </si>
  <si>
    <t xml:space="preserve">Approval Rate</t>
  </si>
  <si>
    <t xml:space="preserve">Driver Utilization (assigned trips)</t>
  </si>
  <si>
    <t xml:space="preserve">Van Utilization</t>
  </si>
  <si>
    <t xml:space="preserve">Trips Assigned</t>
  </si>
  <si>
    <t xml:space="preserve">Trips</t>
  </si>
  <si>
    <t xml:space="preserve">Timing &amp; SLA Stats</t>
  </si>
  <si>
    <t xml:space="preserve">Metric</t>
  </si>
  <si>
    <t xml:space="preserve">Value</t>
  </si>
  <si>
    <t xml:space="preserve">Avg Lead Time - all requests (days)</t>
  </si>
  <si>
    <t xml:space="preserve">Avg TAT - submission to first assignment (hrs)</t>
  </si>
  <si>
    <t xml:space="preserve">Oldest Pending Request (days since submitted)</t>
  </si>
  <si>
    <t xml:space="preserve">Trips Assigned (basis for SLA)</t>
  </si>
  <si>
    <t xml:space="preserve">Breached SLA (&gt;12h)</t>
  </si>
  <si>
    <t xml:space="preserve">SLA Compliance %</t>
  </si>
  <si>
    <t xml:space="preserve">Cost Summary (fill in Vendor/Cost on Data sheet)</t>
  </si>
  <si>
    <t xml:space="preserve">Total Cost</t>
  </si>
  <si>
    <t xml:space="preserve">Avg Cost per Trip (recorded only)</t>
  </si>
  <si>
    <t xml:space="preserve">Trips with Cost Recorded</t>
  </si>
  <si>
    <t xml:space="preserve">Trips with Vendor Recorded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</si>
</sst>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"/>
    <numFmt numFmtId="167" formatCode="0.0%"/>
    <numFmt numFmtId="168" formatCode="mmm\ dd&quot;, &quot;yyyy\ h:mm\ AM/PM"/>
    <numFmt numFmtId="169" formatCode="h:mm\ AM/PM"/>
    <numFmt numFmtId="170" formatCode="&quot;PHP &quot;#,##0.00"/>
    <numFmt numFmtId="171" formatCode="mm/dd/yy"/>
    <numFmt numFmtId="172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D9D9D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2E7D32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BF8F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4A7EB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2CC"/>
      <rgbColor rgb="FFF2F2F2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CCCC"/>
      <rgbColor rgb="FF2E75B6"/>
      <rgbColor rgb="FF33CCCC"/>
      <rgbColor rgb="FF9BBB59"/>
      <rgbColor rgb="FFFFCC00"/>
      <rgbColor rgb="FFBF8F00"/>
      <rgbColor rgb="FFFF6600"/>
      <rgbColor rgb="FF8064A2"/>
      <rgbColor rgb="FF4F81BD"/>
      <rgbColor rgb="FF1F3864"/>
      <rgbColor rgb="FF2E7D32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Requests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Summary!$A$3:$A$6</c:f>
              <c:strCache>
                <c:ptCount val="4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  <c:pt idx="3">
                  <c:v>Cancelled</c:v>
                </c:pt>
              </c:strCache>
            </c:strRef>
          </c:cat>
          <c:val>
            <c:numRef>
              <c:f>Summary!$B$3:$B$6</c:f>
              <c:numCache>
                <c:formatCode>General</c:formatCode>
                <c:ptCount val="4"/>
                <c:pt idx="0">
                  <c:v>125</c:v>
                </c:pt>
                <c:pt idx="1">
                  <c:v>34</c:v>
                </c:pt>
                <c:pt idx="2">
                  <c:v>31</c:v>
                </c:pt>
                <c:pt idx="3">
                  <c:v>40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Request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Summary!$A$11:$A$22</c:f>
              <c:strCache>
                <c:ptCount val="12"/>
                <c:pt idx="0">
                  <c:v>Sep 2025</c:v>
                </c:pt>
                <c:pt idx="1">
                  <c:v>Oct 2025</c:v>
                </c:pt>
                <c:pt idx="2">
                  <c:v>Nov 2025</c:v>
                </c:pt>
                <c:pt idx="3">
                  <c:v>Dec 2025</c:v>
                </c:pt>
                <c:pt idx="4">
                  <c:v>Jan 2026</c:v>
                </c:pt>
                <c:pt idx="5">
                  <c:v>Feb 2026</c:v>
                </c:pt>
                <c:pt idx="6">
                  <c:v>Mar 2026</c:v>
                </c:pt>
                <c:pt idx="7">
                  <c:v>Apr 2026</c:v>
                </c:pt>
                <c:pt idx="8">
                  <c:v>May 2026</c:v>
                </c:pt>
                <c:pt idx="9">
                  <c:v>Jun 2026</c:v>
                </c:pt>
                <c:pt idx="10">
                  <c:v>Jul 2026</c:v>
                </c:pt>
                <c:pt idx="11">
                  <c:v>Aug 2026</c:v>
                </c:pt>
              </c:strCache>
            </c:strRef>
          </c:cat>
          <c:val>
            <c:numRef>
              <c:f>Summary!$B$11:$B$22</c:f>
              <c:numCache>
                <c:formatCode>General</c:formatCode>
                <c:ptCount val="12"/>
                <c:pt idx="0">
                  <c:v>22</c:v>
                </c:pt>
                <c:pt idx="1">
                  <c:v>19</c:v>
                </c:pt>
                <c:pt idx="2">
                  <c:v>16</c:v>
                </c:pt>
                <c:pt idx="3">
                  <c:v>14</c:v>
                </c:pt>
                <c:pt idx="4">
                  <c:v>24</c:v>
                </c:pt>
                <c:pt idx="5">
                  <c:v>20</c:v>
                </c:pt>
                <c:pt idx="6">
                  <c:v>14</c:v>
                </c:pt>
                <c:pt idx="7">
                  <c:v>16</c:v>
                </c:pt>
                <c:pt idx="8">
                  <c:v>21</c:v>
                </c:pt>
                <c:pt idx="9">
                  <c:v>14</c:v>
                </c:pt>
                <c:pt idx="10">
                  <c:v>23</c:v>
                </c:pt>
                <c:pt idx="11">
                  <c:v>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Summary!C10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Summary!$A$11:$A$22</c:f>
              <c:strCache>
                <c:ptCount val="12"/>
                <c:pt idx="0">
                  <c:v>Sep 2025</c:v>
                </c:pt>
                <c:pt idx="1">
                  <c:v>Oct 2025</c:v>
                </c:pt>
                <c:pt idx="2">
                  <c:v>Nov 2025</c:v>
                </c:pt>
                <c:pt idx="3">
                  <c:v>Dec 2025</c:v>
                </c:pt>
                <c:pt idx="4">
                  <c:v>Jan 2026</c:v>
                </c:pt>
                <c:pt idx="5">
                  <c:v>Feb 2026</c:v>
                </c:pt>
                <c:pt idx="6">
                  <c:v>Mar 2026</c:v>
                </c:pt>
                <c:pt idx="7">
                  <c:v>Apr 2026</c:v>
                </c:pt>
                <c:pt idx="8">
                  <c:v>May 2026</c:v>
                </c:pt>
                <c:pt idx="9">
                  <c:v>Jun 2026</c:v>
                </c:pt>
                <c:pt idx="10">
                  <c:v>Jul 2026</c:v>
                </c:pt>
                <c:pt idx="11">
                  <c:v>Aug 2026</c:v>
                </c:pt>
              </c:strCache>
            </c:strRef>
          </c:cat>
          <c:val>
            <c:numRef>
              <c:f>Summary!$C$11:$C$22</c:f>
              <c:numCache>
                <c:formatCode>General</c:formatCode>
                <c:ptCount val="12"/>
                <c:pt idx="0">
                  <c:v>15</c:v>
                </c:pt>
                <c:pt idx="1">
                  <c:v>13</c:v>
                </c:pt>
                <c:pt idx="2">
                  <c:v>9</c:v>
                </c:pt>
                <c:pt idx="3">
                  <c:v>4</c:v>
                </c:pt>
                <c:pt idx="4">
                  <c:v>15</c:v>
                </c:pt>
                <c:pt idx="5">
                  <c:v>12</c:v>
                </c:pt>
                <c:pt idx="6">
                  <c:v>11</c:v>
                </c:pt>
                <c:pt idx="7">
                  <c:v>6</c:v>
                </c:pt>
                <c:pt idx="8">
                  <c:v>14</c:v>
                </c:pt>
                <c:pt idx="9">
                  <c:v>7</c:v>
                </c:pt>
                <c:pt idx="10">
                  <c:v>9</c:v>
                </c:pt>
                <c:pt idx="11">
                  <c:v>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839269"/>
        <c:axId val="38187510"/>
      </c:lineChart>
      <c:catAx>
        <c:axId val="848392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87510"/>
        <c:crosses val="autoZero"/>
        <c:auto val="1"/>
        <c:lblAlgn val="ctr"/>
        <c:lblOffset val="100"/>
        <c:noMultiLvlLbl val="0"/>
      </c:catAx>
      <c:valAx>
        <c:axId val="38187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Requests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392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Requests by Purpose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Summary!$A$26:$A$29</c:f>
              <c:strCache>
                <c:ptCount val="4"/>
                <c:pt idx="0">
                  <c:v>IT-Related</c:v>
                </c:pt>
                <c:pt idx="1">
                  <c:v>HR/TA Related</c:v>
                </c:pt>
                <c:pt idx="2">
                  <c:v>Travel-Related (Airport Transfers)</c:v>
                </c:pt>
                <c:pt idx="3">
                  <c:v>Others</c:v>
                </c:pt>
              </c:strCache>
            </c:strRef>
          </c:cat>
          <c:val>
            <c:numRef>
              <c:f>Summary!$B$26:$B$29</c:f>
              <c:numCache>
                <c:formatCode>General</c:formatCode>
                <c:ptCount val="4"/>
                <c:pt idx="0">
                  <c:v>41</c:v>
                </c:pt>
                <c:pt idx="1">
                  <c:v>47</c:v>
                </c:pt>
                <c:pt idx="2">
                  <c:v>36</c:v>
                </c:pt>
                <c:pt idx="3">
                  <c:v>106</c:v>
                </c:pt>
              </c:numCache>
            </c:numRef>
          </c:val>
        </c:ser>
        <c:gapWidth val="150"/>
        <c:overlap val="0"/>
        <c:axId val="21821112"/>
        <c:axId val="64019542"/>
      </c:barChart>
      <c:catAx>
        <c:axId val="2182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19542"/>
        <c:crosses val="autoZero"/>
        <c:auto val="1"/>
        <c:lblAlgn val="ctr"/>
        <c:lblOffset val="100"/>
        <c:noMultiLvlLbl val="0"/>
      </c:catAx>
      <c:valAx>
        <c:axId val="64019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211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Requests by Requestor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Summary!B33</c:f>
              <c:strCache>
                <c:ptCount val="1"/>
                <c:pt idx="0">
                  <c:v>Total Requests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Summary!$A$34:$A$39</c:f>
              <c:strCache>
                <c:ptCount val="6"/>
                <c:pt idx="0">
                  <c:v>Cruz, Ivan</c:v>
                </c:pt>
                <c:pt idx="1">
                  <c:v>Dizon, Marco</c:v>
                </c:pt>
                <c:pt idx="2">
                  <c:v>Jimera, Arielle</c:v>
                </c:pt>
                <c:pt idx="3">
                  <c:v>Mateo, Angel</c:v>
                </c:pt>
                <c:pt idx="4">
                  <c:v>Reyes, Kaye</c:v>
                </c:pt>
                <c:pt idx="5">
                  <c:v>Salcedo, Liza</c:v>
                </c:pt>
              </c:strCache>
            </c:strRef>
          </c:cat>
          <c:val>
            <c:numRef>
              <c:f>Summary!$B$34:$B$39</c:f>
              <c:numCache>
                <c:formatCode>General</c:formatCode>
                <c:ptCount val="6"/>
                <c:pt idx="0">
                  <c:v>39</c:v>
                </c:pt>
                <c:pt idx="1">
                  <c:v>34</c:v>
                </c:pt>
                <c:pt idx="2">
                  <c:v>38</c:v>
                </c:pt>
                <c:pt idx="3">
                  <c:v>32</c:v>
                </c:pt>
                <c:pt idx="4">
                  <c:v>49</c:v>
                </c:pt>
                <c:pt idx="5">
                  <c:v>38</c:v>
                </c:pt>
              </c:numCache>
            </c:numRef>
          </c:val>
        </c:ser>
        <c:gapWidth val="150"/>
        <c:overlap val="0"/>
        <c:axId val="91250230"/>
        <c:axId val="3253793"/>
      </c:barChart>
      <c:catAx>
        <c:axId val="912502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3793"/>
        <c:crosses val="autoZero"/>
        <c:auto val="1"/>
        <c:lblAlgn val="ctr"/>
        <c:lblOffset val="100"/>
        <c:noMultiLvlLbl val="0"/>
      </c:catAx>
      <c:valAx>
        <c:axId val="32537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502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Driver Utilization (assigned trips)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Summary!B43</c:f>
              <c:strCache>
                <c:ptCount val="1"/>
                <c:pt idx="0">
                  <c:v>Trips Assigned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Summary!$A$44:$A$47</c:f>
              <c:strCache>
                <c:ptCount val="4"/>
                <c:pt idx="0">
                  <c:v>Ocampo, Dennis</c:v>
                </c:pt>
                <c:pt idx="1">
                  <c:v>Padilla, Marlon</c:v>
                </c:pt>
                <c:pt idx="2">
                  <c:v>Sarmiento, Joel</c:v>
                </c:pt>
                <c:pt idx="3">
                  <c:v>Villanueva, Rey</c:v>
                </c:pt>
              </c:strCache>
            </c:strRef>
          </c:cat>
          <c:val>
            <c:numRef>
              <c:f>Summary!$B$44:$B$47</c:f>
              <c:numCache>
                <c:formatCode>General</c:formatCode>
                <c:ptCount val="4"/>
                <c:pt idx="0">
                  <c:v>34</c:v>
                </c:pt>
                <c:pt idx="1">
                  <c:v>39</c:v>
                </c:pt>
                <c:pt idx="2">
                  <c:v>27</c:v>
                </c:pt>
                <c:pt idx="3">
                  <c:v>25</c:v>
                </c:pt>
              </c:numCache>
            </c:numRef>
          </c:val>
        </c:ser>
        <c:gapWidth val="150"/>
        <c:overlap val="0"/>
        <c:axId val="99855125"/>
        <c:axId val="79814981"/>
      </c:barChart>
      <c:catAx>
        <c:axId val="998551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14981"/>
        <c:crosses val="autoZero"/>
        <c:auto val="1"/>
        <c:lblAlgn val="ctr"/>
        <c:lblOffset val="100"/>
        <c:noMultiLvlLbl val="0"/>
      </c:catAx>
      <c:valAx>
        <c:axId val="79814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551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Van Utilization (trips)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Summary!E43</c:f>
              <c:strCache>
                <c:ptCount val="1"/>
                <c:pt idx="0">
                  <c:v>Trips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Summary!$D$44:$D$47</c:f>
              <c:strCache>
                <c:ptCount val="4"/>
                <c:pt idx="0">
                  <c:v>VAN-001</c:v>
                </c:pt>
                <c:pt idx="1">
                  <c:v>VAN-002</c:v>
                </c:pt>
                <c:pt idx="2">
                  <c:v>VAN-003</c:v>
                </c:pt>
                <c:pt idx="3">
                  <c:v>VAN-004</c:v>
                </c:pt>
              </c:strCache>
            </c:strRef>
          </c:cat>
          <c:val>
            <c:numRef>
              <c:f>Summary!$E$44:$E$47</c:f>
              <c:numCache>
                <c:formatCode>General</c:formatCode>
                <c:ptCount val="4"/>
                <c:pt idx="0">
                  <c:v>31</c:v>
                </c:pt>
                <c:pt idx="1">
                  <c:v>33</c:v>
                </c:pt>
                <c:pt idx="2">
                  <c:v>32</c:v>
                </c:pt>
                <c:pt idx="3">
                  <c:v>29</c:v>
                </c:pt>
              </c:numCache>
            </c:numRef>
          </c:val>
        </c:ser>
        <c:gapWidth val="150"/>
        <c:overlap val="0"/>
        <c:axId val="20348755"/>
        <c:axId val="27503981"/>
      </c:barChart>
      <c:catAx>
        <c:axId val="203487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03981"/>
        <c:crosses val="autoZero"/>
        <c:auto val="1"/>
        <c:lblAlgn val="ctr"/>
        <c:lblOffset val="100"/>
        <c:noMultiLvlLbl val="0"/>
      </c:catAx>
      <c:valAx>
        <c:axId val="27503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48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5</xdr:col>
      <xdr:colOff>528480</xdr:colOff>
      <xdr:row>23</xdr:row>
      <xdr:rowOff>21960</xdr:rowOff>
    </xdr:to>
    <xdr:graphicFrame>
      <xdr:nvGraphicFramePr>
        <xdr:cNvPr id="0" name="Chart 1"/>
        <xdr:cNvGraphicFramePr/>
      </xdr:nvGraphicFramePr>
      <xdr:xfrm>
        <a:off x="211320" y="17334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11</xdr:col>
      <xdr:colOff>317160</xdr:colOff>
      <xdr:row>23</xdr:row>
      <xdr:rowOff>21960</xdr:rowOff>
    </xdr:to>
    <xdr:graphicFrame>
      <xdr:nvGraphicFramePr>
        <xdr:cNvPr id="1" name="Chart 2"/>
        <xdr:cNvGraphicFramePr/>
      </xdr:nvGraphicFramePr>
      <xdr:xfrm>
        <a:off x="5850360" y="17334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5</xdr:col>
      <xdr:colOff>528480</xdr:colOff>
      <xdr:row>39</xdr:row>
      <xdr:rowOff>21960</xdr:rowOff>
    </xdr:to>
    <xdr:graphicFrame>
      <xdr:nvGraphicFramePr>
        <xdr:cNvPr id="2" name="Chart 3"/>
        <xdr:cNvGraphicFramePr/>
      </xdr:nvGraphicFramePr>
      <xdr:xfrm>
        <a:off x="211320" y="47815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24</xdr:row>
      <xdr:rowOff>0</xdr:rowOff>
    </xdr:from>
    <xdr:to>
      <xdr:col>11</xdr:col>
      <xdr:colOff>317160</xdr:colOff>
      <xdr:row>39</xdr:row>
      <xdr:rowOff>21960</xdr:rowOff>
    </xdr:to>
    <xdr:graphicFrame>
      <xdr:nvGraphicFramePr>
        <xdr:cNvPr id="3" name="Chart 4"/>
        <xdr:cNvGraphicFramePr/>
      </xdr:nvGraphicFramePr>
      <xdr:xfrm>
        <a:off x="5850360" y="47815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5</xdr:col>
      <xdr:colOff>528480</xdr:colOff>
      <xdr:row>55</xdr:row>
      <xdr:rowOff>22320</xdr:rowOff>
    </xdr:to>
    <xdr:graphicFrame>
      <xdr:nvGraphicFramePr>
        <xdr:cNvPr id="4" name="Chart 5"/>
        <xdr:cNvGraphicFramePr/>
      </xdr:nvGraphicFramePr>
      <xdr:xfrm>
        <a:off x="211320" y="78296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40</xdr:row>
      <xdr:rowOff>0</xdr:rowOff>
    </xdr:from>
    <xdr:to>
      <xdr:col>11</xdr:col>
      <xdr:colOff>317160</xdr:colOff>
      <xdr:row>55</xdr:row>
      <xdr:rowOff>22320</xdr:rowOff>
    </xdr:to>
    <xdr:graphicFrame>
      <xdr:nvGraphicFramePr>
        <xdr:cNvPr id="5" name="Chart 6"/>
        <xdr:cNvGraphicFramePr/>
      </xdr:nvGraphicFramePr>
      <xdr:xfrm>
        <a:off x="5850360" y="78296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ipData" displayName="TripData" ref="A1:Z231" headerRowCount="1" totalsRowCount="0" totalsRowShown="0">
  <autoFilter ref="A1:Z231"/>
  <tableColumns count="26">
    <tableColumn id="1" name="Reference"/>
    <tableColumn id="2" name="Status"/>
    <tableColumn id="3" name="Date Submitted (PHT)"/>
    <tableColumn id="4" name="Start Date &amp; Time"/>
    <tableColumn id="5" name="End Time"/>
    <tableColumn id="6" name="Requestor"/>
    <tableColumn id="7" name="Location"/>
    <tableColumn id="8" name="From"/>
    <tableColumn id="9" name="To"/>
    <tableColumn id="10" name="Purpose"/>
    <tableColumn id="11" name="Details"/>
    <tableColumn id="12" name="Van Type"/>
    <tableColumn id="13" name="Driver"/>
    <tableColumn id="14" name="Van"/>
    <tableColumn id="15" name="Plate Number"/>
    <tableColumn id="16" name="Vendor"/>
    <tableColumn id="17" name="Cost"/>
    <tableColumn id="18" name="Updated By"/>
    <tableColumn id="19" name="Last Updated (PHT)"/>
    <tableColumn id="20" name="Month"/>
    <tableColumn id="21" name="Weekday"/>
    <tableColumn id="22" name="Lead Time (Days)"/>
    <tableColumn id="23" name="Assigned"/>
    <tableColumn id="24" name="TAT (Hrs)"/>
    <tableColumn id="25" name="Within SLA (&lt;=12h)"/>
    <tableColumn id="26" name="Pending Age (Day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  <col collapsed="false" customWidth="true" hidden="false" outlineLevel="0" max="9" min="9" style="0" width="3"/>
    <col collapsed="false" customWidth="true" hidden="false" outlineLevel="0" max="13" min="10" style="0" width="16"/>
    <col collapsed="false" customWidth="true" hidden="false" outlineLevel="0" max="14" min="14" style="0" width="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 t="str">
        <f aca="false">CONCATENATE("Covering ",TEXT(MIN(Data!D2:D231),"mmm d, yyyy")," to ",TEXT(MAX(Data!D2:D231),"mmm d, yyyy")," — ",COUNTA(Data!A2:A231)," total requests")</f>
        <v>Covering Sep 7, 2025 to Aug 28, 2026 — 230 total requests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I5" s="3" t="s">
        <v>4</v>
      </c>
      <c r="J5" s="3"/>
      <c r="K5" s="3" t="s">
        <v>5</v>
      </c>
      <c r="L5" s="3"/>
    </row>
    <row r="6" customFormat="false" ht="31.5" hidden="false" customHeight="true" outlineLevel="0" collapsed="false">
      <c r="B6" s="4" t="n">
        <f aca="false">Summary!B7</f>
        <v>230</v>
      </c>
      <c r="C6" s="4"/>
      <c r="D6" s="5" t="n">
        <f aca="false">Summary!B3</f>
        <v>125</v>
      </c>
      <c r="E6" s="5"/>
      <c r="F6" s="6" t="n">
        <f aca="false">Summary!B53</f>
        <v>86.4</v>
      </c>
      <c r="G6" s="6"/>
      <c r="I6" s="7" t="n">
        <f aca="false">Summary!B58</f>
        <v>0.8</v>
      </c>
      <c r="J6" s="7"/>
      <c r="K6" s="8" t="n">
        <f aca="false">Summary!B4</f>
        <v>34</v>
      </c>
      <c r="L6" s="8"/>
    </row>
    <row r="57" customFormat="false" ht="17.35" hidden="false" customHeight="false" outlineLevel="0" collapsed="false">
      <c r="A57" s="9" t="s">
        <v>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customFormat="false" ht="15" hidden="false" customHeight="true" outlineLevel="0" collapsed="false">
      <c r="A58" s="10" t="s">
        <v>7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1" customFormat="false" ht="15" hidden="false" customHeight="false" outlineLevel="0" collapsed="false">
      <c r="B61" s="3" t="s">
        <v>8</v>
      </c>
      <c r="C61" s="3"/>
      <c r="D61" s="3" t="s">
        <v>9</v>
      </c>
      <c r="E61" s="3"/>
      <c r="F61" s="3" t="s">
        <v>10</v>
      </c>
      <c r="G61" s="3"/>
      <c r="I61" s="3" t="s">
        <v>11</v>
      </c>
      <c r="J61" s="3"/>
    </row>
    <row r="62" customFormat="false" ht="31.5" hidden="false" customHeight="true" outlineLevel="0" collapsed="false">
      <c r="B62" s="7" t="n">
        <f aca="false">Summary!B58</f>
        <v>0.8</v>
      </c>
      <c r="C62" s="7"/>
      <c r="D62" s="5" t="n">
        <f aca="false">Summary!B56</f>
        <v>100</v>
      </c>
      <c r="E62" s="5"/>
      <c r="F62" s="11" t="n">
        <f aca="false">Summary!B57</f>
        <v>25</v>
      </c>
      <c r="G62" s="11"/>
      <c r="I62" s="4" t="n">
        <f aca="false">Summary!B55</f>
        <v>125</v>
      </c>
      <c r="J62" s="4"/>
    </row>
  </sheetData>
  <mergeCells count="22">
    <mergeCell ref="A1:N2"/>
    <mergeCell ref="A3:N3"/>
    <mergeCell ref="B5:C5"/>
    <mergeCell ref="D5:E5"/>
    <mergeCell ref="F5:G5"/>
    <mergeCell ref="I5:J5"/>
    <mergeCell ref="K5:L5"/>
    <mergeCell ref="B6:C6"/>
    <mergeCell ref="D6:E6"/>
    <mergeCell ref="F6:G6"/>
    <mergeCell ref="I6:J6"/>
    <mergeCell ref="K6:L6"/>
    <mergeCell ref="A57:N57"/>
    <mergeCell ref="A58:N59"/>
    <mergeCell ref="B61:C61"/>
    <mergeCell ref="D61:E61"/>
    <mergeCell ref="F61:G61"/>
    <mergeCell ref="I61:J61"/>
    <mergeCell ref="B62:C62"/>
    <mergeCell ref="D62:E62"/>
    <mergeCell ref="F62:G62"/>
    <mergeCell ref="I62:J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4" min="3" style="0" width="20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22"/>
    <col collapsed="false" customWidth="true" hidden="false" outlineLevel="0" max="11" min="11" style="0" width="34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20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15"/>
    <col collapsed="false" customWidth="true" hidden="false" outlineLevel="0" max="24" min="23" style="0" width="10"/>
    <col collapsed="false" customWidth="true" hidden="false" outlineLevel="0" max="26" min="25" style="0" width="15"/>
  </cols>
  <sheetData>
    <row r="1" customFormat="false" ht="23.85" hidden="false" customHeight="false" outlineLevel="0" collapsed="false">
      <c r="A1" s="12" t="s">
        <v>12</v>
      </c>
      <c r="B1" s="12" t="s">
        <v>13</v>
      </c>
      <c r="C1" s="12" t="s">
        <v>14</v>
      </c>
      <c r="D1" s="12" t="s">
        <v>15</v>
      </c>
      <c r="E1" s="12" t="s">
        <v>16</v>
      </c>
      <c r="F1" s="12" t="s">
        <v>17</v>
      </c>
      <c r="G1" s="12" t="s">
        <v>18</v>
      </c>
      <c r="H1" s="12" t="s">
        <v>19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33</v>
      </c>
      <c r="W1" s="12" t="s">
        <v>34</v>
      </c>
      <c r="X1" s="12" t="s">
        <v>35</v>
      </c>
      <c r="Y1" s="12" t="s">
        <v>36</v>
      </c>
      <c r="Z1" s="12" t="s">
        <v>37</v>
      </c>
    </row>
    <row r="2" customFormat="false" ht="15" hidden="false" customHeight="false" outlineLevel="0" collapsed="false">
      <c r="A2" s="13" t="s">
        <v>38</v>
      </c>
      <c r="B2" s="13" t="s">
        <v>39</v>
      </c>
      <c r="C2" s="14" t="n">
        <v>45903.4611111111</v>
      </c>
      <c r="D2" s="14" t="n">
        <v>45907.2708333333</v>
      </c>
      <c r="E2" s="15" t="n">
        <v>0.708333333333333</v>
      </c>
      <c r="F2" s="13" t="s">
        <v>40</v>
      </c>
      <c r="G2" s="13" t="s">
        <v>41</v>
      </c>
      <c r="H2" s="13" t="s">
        <v>42</v>
      </c>
      <c r="I2" s="13" t="s">
        <v>43</v>
      </c>
      <c r="J2" s="13" t="s">
        <v>44</v>
      </c>
      <c r="K2" s="13" t="s">
        <v>45</v>
      </c>
      <c r="L2" s="13" t="s">
        <v>46</v>
      </c>
      <c r="M2" s="13" t="s">
        <v>47</v>
      </c>
      <c r="N2" s="13" t="s">
        <v>48</v>
      </c>
      <c r="O2" s="13" t="s">
        <v>49</v>
      </c>
      <c r="P2" s="16"/>
      <c r="Q2" s="17"/>
      <c r="R2" s="13" t="s">
        <v>50</v>
      </c>
      <c r="S2" s="14" t="n">
        <v>45903.6729166667</v>
      </c>
      <c r="T2" s="13" t="str">
        <f aca="false">TEXT(D2,"mmm yyyy")</f>
        <v>Sep 2025</v>
      </c>
      <c r="U2" s="13" t="str">
        <f aca="false">TEXT(D2,"ddd")</f>
        <v>Sun</v>
      </c>
      <c r="V2" s="13" t="n">
        <f aca="false">INT(D2)-INT(C2)</f>
        <v>4</v>
      </c>
      <c r="W2" s="13" t="str">
        <f aca="false">IF(M2="","No","Yes")</f>
        <v>Yes</v>
      </c>
      <c r="X2" s="13" t="n">
        <f aca="false">IF(AND(W2="Yes",S2&lt;&gt;""),ROUND((S2-C2)*24,1),"")</f>
        <v>5.1</v>
      </c>
      <c r="Y2" s="13" t="str">
        <f aca="false">IF(X2="","N/A",IF(X2&lt;=12,"Yes","No"))</f>
        <v>Yes</v>
      </c>
      <c r="Z2" s="13" t="str">
        <f aca="true">IF(B2="Pending",TODAY()-INT(C2),"")</f>
        <v/>
      </c>
    </row>
    <row r="3" customFormat="false" ht="15" hidden="false" customHeight="false" outlineLevel="0" collapsed="false">
      <c r="A3" s="13" t="s">
        <v>51</v>
      </c>
      <c r="B3" s="13" t="s">
        <v>39</v>
      </c>
      <c r="C3" s="14" t="n">
        <v>45903.4083333333</v>
      </c>
      <c r="D3" s="14" t="n">
        <v>45907.3333333333</v>
      </c>
      <c r="E3" s="15" t="n">
        <v>0.708333333333333</v>
      </c>
      <c r="F3" s="13" t="s">
        <v>52</v>
      </c>
      <c r="G3" s="13" t="s">
        <v>41</v>
      </c>
      <c r="H3" s="13" t="s">
        <v>53</v>
      </c>
      <c r="I3" s="13" t="s">
        <v>43</v>
      </c>
      <c r="J3" s="13" t="s">
        <v>44</v>
      </c>
      <c r="K3" s="13" t="s">
        <v>45</v>
      </c>
      <c r="L3" s="13" t="s">
        <v>46</v>
      </c>
      <c r="M3" s="13" t="s">
        <v>54</v>
      </c>
      <c r="N3" s="13" t="s">
        <v>55</v>
      </c>
      <c r="O3" s="13" t="s">
        <v>56</v>
      </c>
      <c r="P3" s="16"/>
      <c r="Q3" s="17"/>
      <c r="R3" s="13" t="s">
        <v>50</v>
      </c>
      <c r="S3" s="14" t="n">
        <v>45903.8256944444</v>
      </c>
      <c r="T3" s="13" t="str">
        <f aca="false">TEXT(D3,"mmm yyyy")</f>
        <v>Sep 2025</v>
      </c>
      <c r="U3" s="13" t="str">
        <f aca="false">TEXT(D3,"ddd")</f>
        <v>Sun</v>
      </c>
      <c r="V3" s="13" t="n">
        <f aca="false">INT(D3)-INT(C3)</f>
        <v>4</v>
      </c>
      <c r="W3" s="13" t="str">
        <f aca="false">IF(M3="","No","Yes")</f>
        <v>Yes</v>
      </c>
      <c r="X3" s="13" t="n">
        <f aca="false">IF(AND(W3="Yes",S3&lt;&gt;""),ROUND((S3-C3)*24,1),"")</f>
        <v>10</v>
      </c>
      <c r="Y3" s="13" t="str">
        <f aca="false">IF(X3="","N/A",IF(X3&lt;=12,"Yes","No"))</f>
        <v>Yes</v>
      </c>
      <c r="Z3" s="13" t="str">
        <f aca="true">IF(B3="Pending",TODAY()-INT(C3),"")</f>
        <v/>
      </c>
    </row>
    <row r="4" customFormat="false" ht="15" hidden="false" customHeight="false" outlineLevel="0" collapsed="false">
      <c r="A4" s="13" t="s">
        <v>57</v>
      </c>
      <c r="B4" s="13" t="s">
        <v>39</v>
      </c>
      <c r="C4" s="14" t="n">
        <v>45903.4902777778</v>
      </c>
      <c r="D4" s="14" t="n">
        <v>45907.5416666667</v>
      </c>
      <c r="E4" s="15"/>
      <c r="F4" s="13" t="s">
        <v>58</v>
      </c>
      <c r="G4" s="13" t="s">
        <v>41</v>
      </c>
      <c r="H4" s="13" t="s">
        <v>42</v>
      </c>
      <c r="I4" s="13" t="s">
        <v>53</v>
      </c>
      <c r="J4" s="13" t="s">
        <v>59</v>
      </c>
      <c r="K4" s="13" t="s">
        <v>45</v>
      </c>
      <c r="L4" s="13" t="s">
        <v>60</v>
      </c>
      <c r="M4" s="13" t="s">
        <v>61</v>
      </c>
      <c r="N4" s="13" t="s">
        <v>62</v>
      </c>
      <c r="O4" s="13" t="s">
        <v>63</v>
      </c>
      <c r="P4" s="16"/>
      <c r="Q4" s="17"/>
      <c r="R4" s="13" t="s">
        <v>50</v>
      </c>
      <c r="S4" s="14" t="n">
        <v>45903.9125</v>
      </c>
      <c r="T4" s="13" t="str">
        <f aca="false">TEXT(D4,"mmm yyyy")</f>
        <v>Sep 2025</v>
      </c>
      <c r="U4" s="13" t="str">
        <f aca="false">TEXT(D4,"ddd")</f>
        <v>Sun</v>
      </c>
      <c r="V4" s="13" t="n">
        <f aca="false">INT(D4)-INT(C4)</f>
        <v>4</v>
      </c>
      <c r="W4" s="13" t="str">
        <f aca="false">IF(M4="","No","Yes")</f>
        <v>Yes</v>
      </c>
      <c r="X4" s="13" t="n">
        <f aca="false">IF(AND(W4="Yes",S4&lt;&gt;""),ROUND((S4-C4)*24,1),"")</f>
        <v>10.1</v>
      </c>
      <c r="Y4" s="13" t="str">
        <f aca="false">IF(X4="","N/A",IF(X4&lt;=12,"Yes","No"))</f>
        <v>Yes</v>
      </c>
      <c r="Z4" s="13" t="str">
        <f aca="true">IF(B4="Pending",TODAY()-INT(C4),"")</f>
        <v/>
      </c>
    </row>
    <row r="5" customFormat="false" ht="15" hidden="false" customHeight="false" outlineLevel="0" collapsed="false">
      <c r="A5" s="13" t="s">
        <v>64</v>
      </c>
      <c r="B5" s="13" t="s">
        <v>65</v>
      </c>
      <c r="C5" s="14" t="n">
        <v>45904.7104166667</v>
      </c>
      <c r="D5" s="14" t="n">
        <v>45908.2708333333</v>
      </c>
      <c r="E5" s="15"/>
      <c r="F5" s="13" t="s">
        <v>52</v>
      </c>
      <c r="G5" s="13" t="s">
        <v>66</v>
      </c>
      <c r="H5" s="13" t="s">
        <v>42</v>
      </c>
      <c r="I5" s="13" t="s">
        <v>67</v>
      </c>
      <c r="J5" s="13" t="s">
        <v>59</v>
      </c>
      <c r="K5" s="13" t="s">
        <v>45</v>
      </c>
      <c r="L5" s="13" t="s">
        <v>60</v>
      </c>
      <c r="M5" s="13"/>
      <c r="N5" s="13"/>
      <c r="O5" s="13"/>
      <c r="P5" s="16"/>
      <c r="Q5" s="17"/>
      <c r="R5" s="13" t="s">
        <v>50</v>
      </c>
      <c r="S5" s="14" t="n">
        <v>45905.0006944445</v>
      </c>
      <c r="T5" s="13" t="str">
        <f aca="false">TEXT(D5,"mmm yyyy")</f>
        <v>Sep 2025</v>
      </c>
      <c r="U5" s="13" t="str">
        <f aca="false">TEXT(D5,"ddd")</f>
        <v>Mon</v>
      </c>
      <c r="V5" s="13" t="n">
        <f aca="false">INT(D5)-INT(C5)</f>
        <v>4</v>
      </c>
      <c r="W5" s="13" t="str">
        <f aca="false">IF(M5="","No","Yes")</f>
        <v>No</v>
      </c>
      <c r="X5" s="13" t="str">
        <f aca="false">IF(AND(W5="Yes",S5&lt;&gt;""),ROUND((S5-C5)*24,1),"")</f>
        <v/>
      </c>
      <c r="Y5" s="13" t="str">
        <f aca="false">IF(X5="","N/A",IF(X5&lt;=12,"Yes","No"))</f>
        <v>N/A</v>
      </c>
      <c r="Z5" s="13" t="str">
        <f aca="true">IF(B5="Pending",TODAY()-INT(C5),"")</f>
        <v/>
      </c>
    </row>
    <row r="6" customFormat="false" ht="15" hidden="false" customHeight="false" outlineLevel="0" collapsed="false">
      <c r="A6" s="13" t="s">
        <v>68</v>
      </c>
      <c r="B6" s="13" t="s">
        <v>69</v>
      </c>
      <c r="C6" s="14" t="n">
        <v>45905.54375</v>
      </c>
      <c r="D6" s="14" t="n">
        <v>45909.2708333333</v>
      </c>
      <c r="E6" s="15" t="n">
        <v>0.708333333333333</v>
      </c>
      <c r="F6" s="13" t="s">
        <v>52</v>
      </c>
      <c r="G6" s="13" t="s">
        <v>66</v>
      </c>
      <c r="H6" s="13" t="s">
        <v>42</v>
      </c>
      <c r="I6" s="13" t="s">
        <v>43</v>
      </c>
      <c r="J6" s="13" t="s">
        <v>44</v>
      </c>
      <c r="K6" s="13" t="s">
        <v>45</v>
      </c>
      <c r="L6" s="13" t="s">
        <v>46</v>
      </c>
      <c r="M6" s="13"/>
      <c r="N6" s="13"/>
      <c r="O6" s="13"/>
      <c r="P6" s="16"/>
      <c r="Q6" s="17"/>
      <c r="R6" s="13" t="s">
        <v>50</v>
      </c>
      <c r="S6" s="14" t="n">
        <v>45905.8201388889</v>
      </c>
      <c r="T6" s="13" t="str">
        <f aca="false">TEXT(D6,"mmm yyyy")</f>
        <v>Sep 2025</v>
      </c>
      <c r="U6" s="13" t="str">
        <f aca="false">TEXT(D6,"ddd")</f>
        <v>Tue</v>
      </c>
      <c r="V6" s="13" t="n">
        <f aca="false">INT(D6)-INT(C6)</f>
        <v>4</v>
      </c>
      <c r="W6" s="13" t="str">
        <f aca="false">IF(M6="","No","Yes")</f>
        <v>No</v>
      </c>
      <c r="X6" s="13" t="str">
        <f aca="false">IF(AND(W6="Yes",S6&lt;&gt;""),ROUND((S6-C6)*24,1),"")</f>
        <v/>
      </c>
      <c r="Y6" s="13" t="str">
        <f aca="false">IF(X6="","N/A",IF(X6&lt;=12,"Yes","No"))</f>
        <v>N/A</v>
      </c>
      <c r="Z6" s="13" t="str">
        <f aca="true">IF(B6="Pending",TODAY()-INT(C6),"")</f>
        <v/>
      </c>
    </row>
    <row r="7" customFormat="false" ht="15" hidden="false" customHeight="false" outlineLevel="0" collapsed="false">
      <c r="A7" s="13" t="s">
        <v>70</v>
      </c>
      <c r="B7" s="13" t="s">
        <v>65</v>
      </c>
      <c r="C7" s="14" t="n">
        <v>45906.4618055556</v>
      </c>
      <c r="D7" s="14" t="n">
        <v>45910.7291666667</v>
      </c>
      <c r="E7" s="15"/>
      <c r="F7" s="13" t="s">
        <v>52</v>
      </c>
      <c r="G7" s="13" t="s">
        <v>66</v>
      </c>
      <c r="H7" s="13" t="s">
        <v>42</v>
      </c>
      <c r="I7" s="13" t="s">
        <v>53</v>
      </c>
      <c r="J7" s="13" t="s">
        <v>71</v>
      </c>
      <c r="K7" s="13" t="s">
        <v>45</v>
      </c>
      <c r="L7" s="13" t="s">
        <v>60</v>
      </c>
      <c r="M7" s="13"/>
      <c r="N7" s="13"/>
      <c r="O7" s="13"/>
      <c r="P7" s="16"/>
      <c r="Q7" s="17"/>
      <c r="R7" s="13" t="s">
        <v>50</v>
      </c>
      <c r="S7" s="14" t="n">
        <v>45906.7298611111</v>
      </c>
      <c r="T7" s="13" t="str">
        <f aca="false">TEXT(D7,"mmm yyyy")</f>
        <v>Sep 2025</v>
      </c>
      <c r="U7" s="13" t="str">
        <f aca="false">TEXT(D7,"ddd")</f>
        <v>Wed</v>
      </c>
      <c r="V7" s="13" t="n">
        <f aca="false">INT(D7)-INT(C7)</f>
        <v>4</v>
      </c>
      <c r="W7" s="13" t="str">
        <f aca="false">IF(M7="","No","Yes")</f>
        <v>No</v>
      </c>
      <c r="X7" s="13" t="str">
        <f aca="false">IF(AND(W7="Yes",S7&lt;&gt;""),ROUND((S7-C7)*24,1),"")</f>
        <v/>
      </c>
      <c r="Y7" s="13" t="str">
        <f aca="false">IF(X7="","N/A",IF(X7&lt;=12,"Yes","No"))</f>
        <v>N/A</v>
      </c>
      <c r="Z7" s="13" t="str">
        <f aca="true">IF(B7="Pending",TODAY()-INT(C7),"")</f>
        <v/>
      </c>
    </row>
    <row r="8" customFormat="false" ht="15" hidden="false" customHeight="false" outlineLevel="0" collapsed="false">
      <c r="A8" s="13" t="s">
        <v>72</v>
      </c>
      <c r="B8" s="13" t="s">
        <v>65</v>
      </c>
      <c r="C8" s="14" t="n">
        <v>45908.4541666667</v>
      </c>
      <c r="D8" s="14" t="n">
        <v>45912.5416666667</v>
      </c>
      <c r="E8" s="15"/>
      <c r="F8" s="13" t="s">
        <v>73</v>
      </c>
      <c r="G8" s="13" t="s">
        <v>66</v>
      </c>
      <c r="H8" s="13" t="s">
        <v>42</v>
      </c>
      <c r="I8" s="13" t="s">
        <v>53</v>
      </c>
      <c r="J8" s="13" t="s">
        <v>44</v>
      </c>
      <c r="K8" s="13" t="s">
        <v>45</v>
      </c>
      <c r="L8" s="13" t="s">
        <v>60</v>
      </c>
      <c r="M8" s="13"/>
      <c r="N8" s="13"/>
      <c r="O8" s="13"/>
      <c r="P8" s="16"/>
      <c r="Q8" s="17"/>
      <c r="R8" s="13" t="s">
        <v>50</v>
      </c>
      <c r="S8" s="14" t="n">
        <v>45908.7527777778</v>
      </c>
      <c r="T8" s="13" t="str">
        <f aca="false">TEXT(D8,"mmm yyyy")</f>
        <v>Sep 2025</v>
      </c>
      <c r="U8" s="13" t="str">
        <f aca="false">TEXT(D8,"ddd")</f>
        <v>Fri</v>
      </c>
      <c r="V8" s="13" t="n">
        <f aca="false">INT(D8)-INT(C8)</f>
        <v>4</v>
      </c>
      <c r="W8" s="13" t="str">
        <f aca="false">IF(M8="","No","Yes")</f>
        <v>No</v>
      </c>
      <c r="X8" s="13" t="str">
        <f aca="false">IF(AND(W8="Yes",S8&lt;&gt;""),ROUND((S8-C8)*24,1),"")</f>
        <v/>
      </c>
      <c r="Y8" s="13" t="str">
        <f aca="false">IF(X8="","N/A",IF(X8&lt;=12,"Yes","No"))</f>
        <v>N/A</v>
      </c>
      <c r="Z8" s="13" t="str">
        <f aca="true">IF(B8="Pending",TODAY()-INT(C8),"")</f>
        <v/>
      </c>
    </row>
    <row r="9" customFormat="false" ht="15" hidden="false" customHeight="false" outlineLevel="0" collapsed="false">
      <c r="A9" s="13" t="s">
        <v>74</v>
      </c>
      <c r="B9" s="13" t="s">
        <v>39</v>
      </c>
      <c r="C9" s="14" t="n">
        <v>45909.3902777778</v>
      </c>
      <c r="D9" s="14" t="n">
        <v>45913.3333333333</v>
      </c>
      <c r="E9" s="15"/>
      <c r="F9" s="13" t="s">
        <v>58</v>
      </c>
      <c r="G9" s="13" t="s">
        <v>41</v>
      </c>
      <c r="H9" s="13" t="s">
        <v>42</v>
      </c>
      <c r="I9" s="13" t="s">
        <v>67</v>
      </c>
      <c r="J9" s="13" t="s">
        <v>59</v>
      </c>
      <c r="K9" s="13" t="s">
        <v>45</v>
      </c>
      <c r="L9" s="13" t="s">
        <v>60</v>
      </c>
      <c r="M9" s="13" t="s">
        <v>47</v>
      </c>
      <c r="N9" s="13" t="s">
        <v>62</v>
      </c>
      <c r="O9" s="13" t="s">
        <v>63</v>
      </c>
      <c r="P9" s="16"/>
      <c r="Q9" s="17"/>
      <c r="R9" s="13" t="s">
        <v>75</v>
      </c>
      <c r="S9" s="14" t="n">
        <v>46274.6479166667</v>
      </c>
      <c r="T9" s="13" t="str">
        <f aca="false">TEXT(D9,"mmm yyyy")</f>
        <v>Sep 2025</v>
      </c>
      <c r="U9" s="13" t="str">
        <f aca="false">TEXT(D9,"ddd")</f>
        <v>Sat</v>
      </c>
      <c r="V9" s="13" t="n">
        <f aca="false">INT(D9)-INT(C9)</f>
        <v>4</v>
      </c>
      <c r="W9" s="13" t="str">
        <f aca="false">IF(M9="","No","Yes")</f>
        <v>Yes</v>
      </c>
      <c r="X9" s="13" t="n">
        <f aca="false">IF(AND(W9="Yes",S9&lt;&gt;""),ROUND((S9-C9)*24,1),"")</f>
        <v>8766.2</v>
      </c>
      <c r="Y9" s="13" t="str">
        <f aca="false">IF(X9="","N/A",IF(X9&lt;=12,"Yes","No"))</f>
        <v>No</v>
      </c>
      <c r="Z9" s="13" t="str">
        <f aca="true">IF(B9="Pending",TODAY()-INT(C9),"")</f>
        <v/>
      </c>
    </row>
    <row r="10" customFormat="false" ht="15" hidden="false" customHeight="false" outlineLevel="0" collapsed="false">
      <c r="A10" s="13" t="s">
        <v>76</v>
      </c>
      <c r="B10" s="13" t="s">
        <v>39</v>
      </c>
      <c r="C10" s="14" t="n">
        <v>45910.5958333333</v>
      </c>
      <c r="D10" s="14" t="n">
        <v>45914.7291666667</v>
      </c>
      <c r="E10" s="15" t="n">
        <v>0.0416666666666667</v>
      </c>
      <c r="F10" s="13" t="s">
        <v>73</v>
      </c>
      <c r="G10" s="13" t="s">
        <v>41</v>
      </c>
      <c r="H10" s="13" t="s">
        <v>42</v>
      </c>
      <c r="I10" s="13" t="s">
        <v>43</v>
      </c>
      <c r="J10" s="13" t="s">
        <v>44</v>
      </c>
      <c r="K10" s="13" t="s">
        <v>45</v>
      </c>
      <c r="L10" s="13" t="s">
        <v>46</v>
      </c>
      <c r="M10" s="13" t="s">
        <v>61</v>
      </c>
      <c r="N10" s="13" t="s">
        <v>62</v>
      </c>
      <c r="O10" s="13" t="s">
        <v>63</v>
      </c>
      <c r="P10" s="16"/>
      <c r="Q10" s="17"/>
      <c r="R10" s="13" t="s">
        <v>50</v>
      </c>
      <c r="S10" s="14" t="n">
        <v>45910.7847222222</v>
      </c>
      <c r="T10" s="13" t="str">
        <f aca="false">TEXT(D10,"mmm yyyy")</f>
        <v>Sep 2025</v>
      </c>
      <c r="U10" s="13" t="str">
        <f aca="false">TEXT(D10,"ddd")</f>
        <v>Sun</v>
      </c>
      <c r="V10" s="13" t="n">
        <f aca="false">INT(D10)-INT(C10)</f>
        <v>4</v>
      </c>
      <c r="W10" s="13" t="str">
        <f aca="false">IF(M10="","No","Yes")</f>
        <v>Yes</v>
      </c>
      <c r="X10" s="13" t="n">
        <f aca="false">IF(AND(W10="Yes",S10&lt;&gt;""),ROUND((S10-C10)*24,1),"")</f>
        <v>4.5</v>
      </c>
      <c r="Y10" s="13" t="str">
        <f aca="false">IF(X10="","N/A",IF(X10&lt;=12,"Yes","No"))</f>
        <v>Yes</v>
      </c>
      <c r="Z10" s="13" t="str">
        <f aca="true">IF(B10="Pending",TODAY()-INT(C10),"")</f>
        <v/>
      </c>
    </row>
    <row r="11" customFormat="false" ht="15" hidden="false" customHeight="false" outlineLevel="0" collapsed="false">
      <c r="A11" s="13" t="s">
        <v>77</v>
      </c>
      <c r="B11" s="13" t="s">
        <v>39</v>
      </c>
      <c r="C11" s="14" t="n">
        <v>45917.60625</v>
      </c>
      <c r="D11" s="14" t="n">
        <v>45921.2708333333</v>
      </c>
      <c r="E11" s="15"/>
      <c r="F11" s="13" t="s">
        <v>73</v>
      </c>
      <c r="G11" s="13" t="s">
        <v>66</v>
      </c>
      <c r="H11" s="13" t="s">
        <v>53</v>
      </c>
      <c r="I11" s="13" t="s">
        <v>78</v>
      </c>
      <c r="J11" s="13" t="s">
        <v>59</v>
      </c>
      <c r="K11" s="13" t="s">
        <v>45</v>
      </c>
      <c r="L11" s="13" t="s">
        <v>60</v>
      </c>
      <c r="M11" s="13" t="s">
        <v>47</v>
      </c>
      <c r="N11" s="13" t="s">
        <v>79</v>
      </c>
      <c r="O11" s="13" t="s">
        <v>80</v>
      </c>
      <c r="P11" s="16"/>
      <c r="Q11" s="17"/>
      <c r="R11" s="13" t="s">
        <v>50</v>
      </c>
      <c r="S11" s="14" t="n">
        <v>45918.2381944444</v>
      </c>
      <c r="T11" s="13" t="str">
        <f aca="false">TEXT(D11,"mmm yyyy")</f>
        <v>Sep 2025</v>
      </c>
      <c r="U11" s="13" t="str">
        <f aca="false">TEXT(D11,"ddd")</f>
        <v>Sun</v>
      </c>
      <c r="V11" s="13" t="n">
        <f aca="false">INT(D11)-INT(C11)</f>
        <v>4</v>
      </c>
      <c r="W11" s="13" t="str">
        <f aca="false">IF(M11="","No","Yes")</f>
        <v>Yes</v>
      </c>
      <c r="X11" s="13" t="n">
        <f aca="false">IF(AND(W11="Yes",S11&lt;&gt;""),ROUND((S11-C11)*24,1),"")</f>
        <v>15.2</v>
      </c>
      <c r="Y11" s="13" t="str">
        <f aca="false">IF(X11="","N/A",IF(X11&lt;=12,"Yes","No"))</f>
        <v>No</v>
      </c>
      <c r="Z11" s="13" t="str">
        <f aca="true">IF(B11="Pending",TODAY()-INT(C11),"")</f>
        <v/>
      </c>
    </row>
    <row r="12" customFormat="false" ht="15" hidden="false" customHeight="false" outlineLevel="0" collapsed="false">
      <c r="A12" s="13" t="s">
        <v>81</v>
      </c>
      <c r="B12" s="13" t="s">
        <v>39</v>
      </c>
      <c r="C12" s="14" t="n">
        <v>45918.5951388889</v>
      </c>
      <c r="D12" s="14" t="n">
        <v>45922.2708333333</v>
      </c>
      <c r="E12" s="15" t="n">
        <v>0.708333333333333</v>
      </c>
      <c r="F12" s="13" t="s">
        <v>73</v>
      </c>
      <c r="G12" s="13" t="s">
        <v>41</v>
      </c>
      <c r="H12" s="13" t="s">
        <v>53</v>
      </c>
      <c r="I12" s="13" t="s">
        <v>43</v>
      </c>
      <c r="J12" s="13" t="s">
        <v>44</v>
      </c>
      <c r="K12" s="13" t="s">
        <v>45</v>
      </c>
      <c r="L12" s="13" t="s">
        <v>46</v>
      </c>
      <c r="M12" s="13" t="s">
        <v>54</v>
      </c>
      <c r="N12" s="13" t="s">
        <v>48</v>
      </c>
      <c r="O12" s="13" t="s">
        <v>49</v>
      </c>
      <c r="P12" s="16"/>
      <c r="Q12" s="17"/>
      <c r="R12" s="13" t="s">
        <v>50</v>
      </c>
      <c r="S12" s="14" t="n">
        <v>45919.0375</v>
      </c>
      <c r="T12" s="13" t="str">
        <f aca="false">TEXT(D12,"mmm yyyy")</f>
        <v>Sep 2025</v>
      </c>
      <c r="U12" s="13" t="str">
        <f aca="false">TEXT(D12,"ddd")</f>
        <v>Mon</v>
      </c>
      <c r="V12" s="13" t="n">
        <f aca="false">INT(D12)-INT(C12)</f>
        <v>4</v>
      </c>
      <c r="W12" s="13" t="str">
        <f aca="false">IF(M12="","No","Yes")</f>
        <v>Yes</v>
      </c>
      <c r="X12" s="13" t="n">
        <f aca="false">IF(AND(W12="Yes",S12&lt;&gt;""),ROUND((S12-C12)*24,1),"")</f>
        <v>10.6</v>
      </c>
      <c r="Y12" s="13" t="str">
        <f aca="false">IF(X12="","N/A",IF(X12&lt;=12,"Yes","No"))</f>
        <v>Yes</v>
      </c>
      <c r="Z12" s="13" t="str">
        <f aca="true">IF(B12="Pending",TODAY()-INT(C12),"")</f>
        <v/>
      </c>
    </row>
    <row r="13" customFormat="false" ht="15" hidden="false" customHeight="false" outlineLevel="0" collapsed="false">
      <c r="A13" s="13" t="s">
        <v>82</v>
      </c>
      <c r="B13" s="13" t="s">
        <v>83</v>
      </c>
      <c r="C13" s="14" t="n">
        <v>45919.3826388889</v>
      </c>
      <c r="D13" s="14" t="n">
        <v>45923.2708333333</v>
      </c>
      <c r="E13" s="15"/>
      <c r="F13" s="13" t="s">
        <v>40</v>
      </c>
      <c r="G13" s="13" t="s">
        <v>66</v>
      </c>
      <c r="H13" s="13" t="s">
        <v>53</v>
      </c>
      <c r="I13" s="13" t="s">
        <v>78</v>
      </c>
      <c r="J13" s="13" t="s">
        <v>44</v>
      </c>
      <c r="K13" s="13" t="s">
        <v>45</v>
      </c>
      <c r="L13" s="13" t="s">
        <v>60</v>
      </c>
      <c r="M13" s="13"/>
      <c r="N13" s="13"/>
      <c r="O13" s="13"/>
      <c r="P13" s="16"/>
      <c r="Q13" s="17"/>
      <c r="R13" s="13"/>
      <c r="S13" s="14"/>
      <c r="T13" s="13" t="str">
        <f aca="false">TEXT(D13,"mmm yyyy")</f>
        <v>Sep 2025</v>
      </c>
      <c r="U13" s="13" t="str">
        <f aca="false">TEXT(D13,"ddd")</f>
        <v>Tue</v>
      </c>
      <c r="V13" s="13" t="n">
        <f aca="false">INT(D13)-INT(C13)</f>
        <v>4</v>
      </c>
      <c r="W13" s="13" t="str">
        <f aca="false">IF(M13="","No","Yes")</f>
        <v>No</v>
      </c>
      <c r="X13" s="13" t="str">
        <f aca="false">IF(AND(W13="Yes",S13&lt;&gt;""),ROUND((S13-C13)*24,1),"")</f>
        <v/>
      </c>
      <c r="Y13" s="13" t="str">
        <f aca="false">IF(X13="","N/A",IF(X13&lt;=12,"Yes","No"))</f>
        <v>N/A</v>
      </c>
      <c r="Z13" s="18" t="n">
        <f aca="true">IF(B13="Pending",TODAY()-INT(C13),"")</f>
        <v>355</v>
      </c>
    </row>
    <row r="14" customFormat="false" ht="15" hidden="false" customHeight="false" outlineLevel="0" collapsed="false">
      <c r="A14" s="13" t="s">
        <v>84</v>
      </c>
      <c r="B14" s="13" t="s">
        <v>39</v>
      </c>
      <c r="C14" s="14" t="n">
        <v>45919.3979166667</v>
      </c>
      <c r="D14" s="14" t="n">
        <v>45923.2916666667</v>
      </c>
      <c r="E14" s="15" t="n">
        <v>0.708333333333333</v>
      </c>
      <c r="F14" s="13" t="s">
        <v>73</v>
      </c>
      <c r="G14" s="13" t="s">
        <v>41</v>
      </c>
      <c r="H14" s="13" t="s">
        <v>53</v>
      </c>
      <c r="I14" s="13" t="s">
        <v>43</v>
      </c>
      <c r="J14" s="13" t="s">
        <v>44</v>
      </c>
      <c r="K14" s="13" t="s">
        <v>45</v>
      </c>
      <c r="L14" s="13" t="s">
        <v>46</v>
      </c>
      <c r="M14" s="13" t="s">
        <v>54</v>
      </c>
      <c r="N14" s="13" t="s">
        <v>55</v>
      </c>
      <c r="O14" s="13" t="s">
        <v>56</v>
      </c>
      <c r="P14" s="16"/>
      <c r="Q14" s="17"/>
      <c r="R14" s="13" t="s">
        <v>50</v>
      </c>
      <c r="S14" s="14" t="n">
        <v>45919.875</v>
      </c>
      <c r="T14" s="13" t="str">
        <f aca="false">TEXT(D14,"mmm yyyy")</f>
        <v>Sep 2025</v>
      </c>
      <c r="U14" s="13" t="str">
        <f aca="false">TEXT(D14,"ddd")</f>
        <v>Tue</v>
      </c>
      <c r="V14" s="13" t="n">
        <f aca="false">INT(D14)-INT(C14)</f>
        <v>4</v>
      </c>
      <c r="W14" s="13" t="str">
        <f aca="false">IF(M14="","No","Yes")</f>
        <v>Yes</v>
      </c>
      <c r="X14" s="13" t="n">
        <f aca="false">IF(AND(W14="Yes",S14&lt;&gt;""),ROUND((S14-C14)*24,1),"")</f>
        <v>11.5</v>
      </c>
      <c r="Y14" s="13" t="str">
        <f aca="false">IF(X14="","N/A",IF(X14&lt;=12,"Yes","No"))</f>
        <v>Yes</v>
      </c>
      <c r="Z14" s="13" t="str">
        <f aca="true">IF(B14="Pending",TODAY()-INT(C14),"")</f>
        <v/>
      </c>
    </row>
    <row r="15" customFormat="false" ht="15" hidden="false" customHeight="false" outlineLevel="0" collapsed="false">
      <c r="A15" s="13" t="s">
        <v>85</v>
      </c>
      <c r="B15" s="13" t="s">
        <v>39</v>
      </c>
      <c r="C15" s="14" t="n">
        <v>45919.4048611111</v>
      </c>
      <c r="D15" s="14" t="n">
        <v>45923.2916666667</v>
      </c>
      <c r="E15" s="15" t="n">
        <v>0.708333333333333</v>
      </c>
      <c r="F15" s="13" t="s">
        <v>52</v>
      </c>
      <c r="G15" s="13" t="s">
        <v>41</v>
      </c>
      <c r="H15" s="13" t="s">
        <v>42</v>
      </c>
      <c r="I15" s="13" t="s">
        <v>43</v>
      </c>
      <c r="J15" s="13" t="s">
        <v>44</v>
      </c>
      <c r="K15" s="13" t="s">
        <v>45</v>
      </c>
      <c r="L15" s="13" t="s">
        <v>46</v>
      </c>
      <c r="M15" s="13" t="s">
        <v>47</v>
      </c>
      <c r="N15" s="13" t="s">
        <v>48</v>
      </c>
      <c r="O15" s="13" t="s">
        <v>49</v>
      </c>
      <c r="P15" s="16"/>
      <c r="Q15" s="17"/>
      <c r="R15" s="13" t="s">
        <v>50</v>
      </c>
      <c r="S15" s="14" t="n">
        <v>45919.7090277778</v>
      </c>
      <c r="T15" s="13" t="str">
        <f aca="false">TEXT(D15,"mmm yyyy")</f>
        <v>Sep 2025</v>
      </c>
      <c r="U15" s="13" t="str">
        <f aca="false">TEXT(D15,"ddd")</f>
        <v>Tue</v>
      </c>
      <c r="V15" s="13" t="n">
        <f aca="false">INT(D15)-INT(C15)</f>
        <v>4</v>
      </c>
      <c r="W15" s="13" t="str">
        <f aca="false">IF(M15="","No","Yes")</f>
        <v>Yes</v>
      </c>
      <c r="X15" s="13" t="n">
        <f aca="false">IF(AND(W15="Yes",S15&lt;&gt;""),ROUND((S15-C15)*24,1),"")</f>
        <v>7.3</v>
      </c>
      <c r="Y15" s="13" t="str">
        <f aca="false">IF(X15="","N/A",IF(X15&lt;=12,"Yes","No"))</f>
        <v>Yes</v>
      </c>
      <c r="Z15" s="13" t="str">
        <f aca="true">IF(B15="Pending",TODAY()-INT(C15),"")</f>
        <v/>
      </c>
    </row>
    <row r="16" customFormat="false" ht="15" hidden="false" customHeight="false" outlineLevel="0" collapsed="false">
      <c r="A16" s="13" t="s">
        <v>86</v>
      </c>
      <c r="B16" s="13" t="s">
        <v>39</v>
      </c>
      <c r="C16" s="14" t="n">
        <v>45921.5159722222</v>
      </c>
      <c r="D16" s="14" t="n">
        <v>45925.2708333333</v>
      </c>
      <c r="E16" s="15" t="n">
        <v>0.708333333333333</v>
      </c>
      <c r="F16" s="13" t="s">
        <v>52</v>
      </c>
      <c r="G16" s="13" t="s">
        <v>66</v>
      </c>
      <c r="H16" s="13" t="s">
        <v>42</v>
      </c>
      <c r="I16" s="13" t="s">
        <v>43</v>
      </c>
      <c r="J16" s="13" t="s">
        <v>44</v>
      </c>
      <c r="K16" s="13" t="s">
        <v>45</v>
      </c>
      <c r="L16" s="13" t="s">
        <v>46</v>
      </c>
      <c r="M16" s="13" t="s">
        <v>61</v>
      </c>
      <c r="N16" s="13" t="s">
        <v>62</v>
      </c>
      <c r="O16" s="13" t="s">
        <v>63</v>
      </c>
      <c r="P16" s="16"/>
      <c r="Q16" s="17"/>
      <c r="R16" s="13" t="s">
        <v>50</v>
      </c>
      <c r="S16" s="14" t="n">
        <v>45921.7243055556</v>
      </c>
      <c r="T16" s="13" t="str">
        <f aca="false">TEXT(D16,"mmm yyyy")</f>
        <v>Sep 2025</v>
      </c>
      <c r="U16" s="13" t="str">
        <f aca="false">TEXT(D16,"ddd")</f>
        <v>Thu</v>
      </c>
      <c r="V16" s="13" t="n">
        <f aca="false">INT(D16)-INT(C16)</f>
        <v>4</v>
      </c>
      <c r="W16" s="13" t="str">
        <f aca="false">IF(M16="","No","Yes")</f>
        <v>Yes</v>
      </c>
      <c r="X16" s="13" t="n">
        <f aca="false">IF(AND(W16="Yes",S16&lt;&gt;""),ROUND((S16-C16)*24,1),"")</f>
        <v>5</v>
      </c>
      <c r="Y16" s="13" t="str">
        <f aca="false">IF(X16="","N/A",IF(X16&lt;=12,"Yes","No"))</f>
        <v>Yes</v>
      </c>
      <c r="Z16" s="13" t="str">
        <f aca="true">IF(B16="Pending",TODAY()-INT(C16),"")</f>
        <v/>
      </c>
    </row>
    <row r="17" customFormat="false" ht="15" hidden="false" customHeight="false" outlineLevel="0" collapsed="false">
      <c r="A17" s="13" t="s">
        <v>87</v>
      </c>
      <c r="B17" s="13" t="s">
        <v>39</v>
      </c>
      <c r="C17" s="14" t="n">
        <v>45921.4263888889</v>
      </c>
      <c r="D17" s="14" t="n">
        <v>45925.2916666667</v>
      </c>
      <c r="E17" s="15"/>
      <c r="F17" s="13" t="s">
        <v>88</v>
      </c>
      <c r="G17" s="13" t="s">
        <v>66</v>
      </c>
      <c r="H17" s="13" t="s">
        <v>42</v>
      </c>
      <c r="I17" s="13" t="s">
        <v>53</v>
      </c>
      <c r="J17" s="13" t="s">
        <v>59</v>
      </c>
      <c r="K17" s="13" t="s">
        <v>45</v>
      </c>
      <c r="L17" s="13" t="s">
        <v>60</v>
      </c>
      <c r="M17" s="13" t="s">
        <v>54</v>
      </c>
      <c r="N17" s="13" t="s">
        <v>79</v>
      </c>
      <c r="O17" s="13" t="s">
        <v>80</v>
      </c>
      <c r="P17" s="16"/>
      <c r="Q17" s="17"/>
      <c r="R17" s="13" t="s">
        <v>50</v>
      </c>
      <c r="S17" s="14" t="n">
        <v>45921.4708333333</v>
      </c>
      <c r="T17" s="13" t="str">
        <f aca="false">TEXT(D17,"mmm yyyy")</f>
        <v>Sep 2025</v>
      </c>
      <c r="U17" s="13" t="str">
        <f aca="false">TEXT(D17,"ddd")</f>
        <v>Thu</v>
      </c>
      <c r="V17" s="13" t="n">
        <f aca="false">INT(D17)-INT(C17)</f>
        <v>4</v>
      </c>
      <c r="W17" s="13" t="str">
        <f aca="false">IF(M17="","No","Yes")</f>
        <v>Yes</v>
      </c>
      <c r="X17" s="13" t="n">
        <f aca="false">IF(AND(W17="Yes",S17&lt;&gt;""),ROUND((S17-C17)*24,1),"")</f>
        <v>1.1</v>
      </c>
      <c r="Y17" s="13" t="str">
        <f aca="false">IF(X17="","N/A",IF(X17&lt;=12,"Yes","No"))</f>
        <v>Yes</v>
      </c>
      <c r="Z17" s="13" t="str">
        <f aca="true">IF(B17="Pending",TODAY()-INT(C17),"")</f>
        <v/>
      </c>
    </row>
    <row r="18" customFormat="false" ht="15" hidden="false" customHeight="false" outlineLevel="0" collapsed="false">
      <c r="A18" s="13" t="s">
        <v>89</v>
      </c>
      <c r="B18" s="13" t="s">
        <v>39</v>
      </c>
      <c r="C18" s="14" t="n">
        <v>45922.6680555556</v>
      </c>
      <c r="D18" s="14" t="n">
        <v>45926.5416666667</v>
      </c>
      <c r="E18" s="15" t="n">
        <v>0.708333333333333</v>
      </c>
      <c r="F18" s="13" t="s">
        <v>52</v>
      </c>
      <c r="G18" s="13" t="s">
        <v>41</v>
      </c>
      <c r="H18" s="13" t="s">
        <v>42</v>
      </c>
      <c r="I18" s="13" t="s">
        <v>43</v>
      </c>
      <c r="J18" s="13" t="s">
        <v>44</v>
      </c>
      <c r="K18" s="13" t="s">
        <v>45</v>
      </c>
      <c r="L18" s="13" t="s">
        <v>46</v>
      </c>
      <c r="M18" s="13" t="s">
        <v>90</v>
      </c>
      <c r="N18" s="13" t="s">
        <v>55</v>
      </c>
      <c r="O18" s="13" t="s">
        <v>56</v>
      </c>
      <c r="P18" s="16"/>
      <c r="Q18" s="17"/>
      <c r="R18" s="13" t="s">
        <v>50</v>
      </c>
      <c r="S18" s="14" t="n">
        <v>45922.8333333333</v>
      </c>
      <c r="T18" s="13" t="str">
        <f aca="false">TEXT(D18,"mmm yyyy")</f>
        <v>Sep 2025</v>
      </c>
      <c r="U18" s="13" t="str">
        <f aca="false">TEXT(D18,"ddd")</f>
        <v>Fri</v>
      </c>
      <c r="V18" s="13" t="n">
        <f aca="false">INT(D18)-INT(C18)</f>
        <v>4</v>
      </c>
      <c r="W18" s="13" t="str">
        <f aca="false">IF(M18="","No","Yes")</f>
        <v>Yes</v>
      </c>
      <c r="X18" s="13" t="n">
        <f aca="false">IF(AND(W18="Yes",S18&lt;&gt;""),ROUND((S18-C18)*24,1),"")</f>
        <v>4</v>
      </c>
      <c r="Y18" s="13" t="str">
        <f aca="false">IF(X18="","N/A",IF(X18&lt;=12,"Yes","No"))</f>
        <v>Yes</v>
      </c>
      <c r="Z18" s="13" t="str">
        <f aca="true">IF(B18="Pending",TODAY()-INT(C18),"")</f>
        <v/>
      </c>
    </row>
    <row r="19" customFormat="false" ht="15" hidden="false" customHeight="false" outlineLevel="0" collapsed="false">
      <c r="A19" s="13" t="s">
        <v>91</v>
      </c>
      <c r="B19" s="13" t="s">
        <v>83</v>
      </c>
      <c r="C19" s="14" t="n">
        <v>45922.6173611111</v>
      </c>
      <c r="D19" s="14" t="n">
        <v>45926.5416666667</v>
      </c>
      <c r="E19" s="15" t="n">
        <v>0.708333333333333</v>
      </c>
      <c r="F19" s="13" t="s">
        <v>88</v>
      </c>
      <c r="G19" s="13" t="s">
        <v>66</v>
      </c>
      <c r="H19" s="13" t="s">
        <v>42</v>
      </c>
      <c r="I19" s="13" t="s">
        <v>43</v>
      </c>
      <c r="J19" s="13" t="s">
        <v>44</v>
      </c>
      <c r="K19" s="13" t="s">
        <v>45</v>
      </c>
      <c r="L19" s="13" t="s">
        <v>46</v>
      </c>
      <c r="M19" s="13"/>
      <c r="N19" s="13"/>
      <c r="O19" s="13"/>
      <c r="P19" s="16"/>
      <c r="Q19" s="17"/>
      <c r="R19" s="13"/>
      <c r="S19" s="14"/>
      <c r="T19" s="13" t="str">
        <f aca="false">TEXT(D19,"mmm yyyy")</f>
        <v>Sep 2025</v>
      </c>
      <c r="U19" s="13" t="str">
        <f aca="false">TEXT(D19,"ddd")</f>
        <v>Fri</v>
      </c>
      <c r="V19" s="13" t="n">
        <f aca="false">INT(D19)-INT(C19)</f>
        <v>4</v>
      </c>
      <c r="W19" s="13" t="str">
        <f aca="false">IF(M19="","No","Yes")</f>
        <v>No</v>
      </c>
      <c r="X19" s="13" t="str">
        <f aca="false">IF(AND(W19="Yes",S19&lt;&gt;""),ROUND((S19-C19)*24,1),"")</f>
        <v/>
      </c>
      <c r="Y19" s="13" t="str">
        <f aca="false">IF(X19="","N/A",IF(X19&lt;=12,"Yes","No"))</f>
        <v>N/A</v>
      </c>
      <c r="Z19" s="18" t="n">
        <f aca="true">IF(B19="Pending",TODAY()-INT(C19),"")</f>
        <v>352</v>
      </c>
    </row>
    <row r="20" customFormat="false" ht="15" hidden="false" customHeight="false" outlineLevel="0" collapsed="false">
      <c r="A20" s="13" t="s">
        <v>92</v>
      </c>
      <c r="B20" s="13" t="s">
        <v>39</v>
      </c>
      <c r="C20" s="14" t="n">
        <v>45926.4791666667</v>
      </c>
      <c r="D20" s="14" t="n">
        <v>45928.2916666667</v>
      </c>
      <c r="E20" s="15"/>
      <c r="F20" s="13" t="s">
        <v>58</v>
      </c>
      <c r="G20" s="13" t="s">
        <v>66</v>
      </c>
      <c r="H20" s="13" t="s">
        <v>42</v>
      </c>
      <c r="I20" s="13" t="s">
        <v>67</v>
      </c>
      <c r="J20" s="13" t="s">
        <v>59</v>
      </c>
      <c r="K20" s="13" t="s">
        <v>45</v>
      </c>
      <c r="L20" s="13" t="s">
        <v>60</v>
      </c>
      <c r="M20" s="13" t="s">
        <v>90</v>
      </c>
      <c r="N20" s="13" t="s">
        <v>79</v>
      </c>
      <c r="O20" s="13" t="s">
        <v>80</v>
      </c>
      <c r="P20" s="16"/>
      <c r="Q20" s="17"/>
      <c r="R20" s="13" t="s">
        <v>50</v>
      </c>
      <c r="S20" s="14" t="n">
        <v>45926.6833333333</v>
      </c>
      <c r="T20" s="13" t="str">
        <f aca="false">TEXT(D20,"mmm yyyy")</f>
        <v>Sep 2025</v>
      </c>
      <c r="U20" s="13" t="str">
        <f aca="false">TEXT(D20,"ddd")</f>
        <v>Sun</v>
      </c>
      <c r="V20" s="13" t="n">
        <f aca="false">INT(D20)-INT(C20)</f>
        <v>2</v>
      </c>
      <c r="W20" s="13" t="str">
        <f aca="false">IF(M20="","No","Yes")</f>
        <v>Yes</v>
      </c>
      <c r="X20" s="13" t="n">
        <f aca="false">IF(AND(W20="Yes",S20&lt;&gt;""),ROUND((S20-C20)*24,1),"")</f>
        <v>4.9</v>
      </c>
      <c r="Y20" s="13" t="str">
        <f aca="false">IF(X20="","N/A",IF(X20&lt;=12,"Yes","No"))</f>
        <v>Yes</v>
      </c>
      <c r="Z20" s="13" t="str">
        <f aca="true">IF(B20="Pending",TODAY()-INT(C20),"")</f>
        <v/>
      </c>
    </row>
    <row r="21" customFormat="false" ht="15" hidden="false" customHeight="false" outlineLevel="0" collapsed="false">
      <c r="A21" s="13" t="s">
        <v>93</v>
      </c>
      <c r="B21" s="13" t="s">
        <v>39</v>
      </c>
      <c r="C21" s="14" t="n">
        <v>45924.7319444444</v>
      </c>
      <c r="D21" s="14" t="n">
        <v>45928.3333333333</v>
      </c>
      <c r="E21" s="15" t="n">
        <v>0.708333333333333</v>
      </c>
      <c r="F21" s="13" t="s">
        <v>88</v>
      </c>
      <c r="G21" s="13" t="s">
        <v>66</v>
      </c>
      <c r="H21" s="13" t="s">
        <v>42</v>
      </c>
      <c r="I21" s="13" t="s">
        <v>43</v>
      </c>
      <c r="J21" s="13" t="s">
        <v>44</v>
      </c>
      <c r="K21" s="13" t="s">
        <v>45</v>
      </c>
      <c r="L21" s="13" t="s">
        <v>46</v>
      </c>
      <c r="M21" s="13" t="s">
        <v>54</v>
      </c>
      <c r="N21" s="13" t="s">
        <v>48</v>
      </c>
      <c r="O21" s="13" t="s">
        <v>49</v>
      </c>
      <c r="P21" s="16"/>
      <c r="Q21" s="17"/>
      <c r="R21" s="13" t="s">
        <v>50</v>
      </c>
      <c r="S21" s="14" t="n">
        <v>45924.8840277778</v>
      </c>
      <c r="T21" s="13" t="str">
        <f aca="false">TEXT(D21,"mmm yyyy")</f>
        <v>Sep 2025</v>
      </c>
      <c r="U21" s="13" t="str">
        <f aca="false">TEXT(D21,"ddd")</f>
        <v>Sun</v>
      </c>
      <c r="V21" s="13" t="n">
        <f aca="false">INT(D21)-INT(C21)</f>
        <v>4</v>
      </c>
      <c r="W21" s="13" t="str">
        <f aca="false">IF(M21="","No","Yes")</f>
        <v>Yes</v>
      </c>
      <c r="X21" s="13" t="n">
        <f aca="false">IF(AND(W21="Yes",S21&lt;&gt;""),ROUND((S21-C21)*24,1),"")</f>
        <v>3.7</v>
      </c>
      <c r="Y21" s="13" t="str">
        <f aca="false">IF(X21="","N/A",IF(X21&lt;=12,"Yes","No"))</f>
        <v>Yes</v>
      </c>
      <c r="Z21" s="13" t="str">
        <f aca="true">IF(B21="Pending",TODAY()-INT(C21),"")</f>
        <v/>
      </c>
    </row>
    <row r="22" customFormat="false" ht="15" hidden="false" customHeight="false" outlineLevel="0" collapsed="false">
      <c r="A22" s="13" t="s">
        <v>94</v>
      </c>
      <c r="B22" s="13" t="s">
        <v>65</v>
      </c>
      <c r="C22" s="14" t="n">
        <v>45926.64375</v>
      </c>
      <c r="D22" s="14" t="n">
        <v>45928.3333333333</v>
      </c>
      <c r="E22" s="15" t="n">
        <v>0.708333333333333</v>
      </c>
      <c r="F22" s="13" t="s">
        <v>88</v>
      </c>
      <c r="G22" s="13" t="s">
        <v>66</v>
      </c>
      <c r="H22" s="13" t="s">
        <v>53</v>
      </c>
      <c r="I22" s="13" t="s">
        <v>43</v>
      </c>
      <c r="J22" s="13" t="s">
        <v>44</v>
      </c>
      <c r="K22" s="13" t="s">
        <v>45</v>
      </c>
      <c r="L22" s="13" t="s">
        <v>46</v>
      </c>
      <c r="M22" s="13"/>
      <c r="N22" s="13"/>
      <c r="O22" s="13"/>
      <c r="P22" s="16"/>
      <c r="Q22" s="17"/>
      <c r="R22" s="13" t="s">
        <v>50</v>
      </c>
      <c r="S22" s="14" t="n">
        <v>45927.1118055556</v>
      </c>
      <c r="T22" s="13" t="str">
        <f aca="false">TEXT(D22,"mmm yyyy")</f>
        <v>Sep 2025</v>
      </c>
      <c r="U22" s="13" t="str">
        <f aca="false">TEXT(D22,"ddd")</f>
        <v>Sun</v>
      </c>
      <c r="V22" s="13" t="n">
        <f aca="false">INT(D22)-INT(C22)</f>
        <v>2</v>
      </c>
      <c r="W22" s="13" t="str">
        <f aca="false">IF(M22="","No","Yes")</f>
        <v>No</v>
      </c>
      <c r="X22" s="13" t="str">
        <f aca="false">IF(AND(W22="Yes",S22&lt;&gt;""),ROUND((S22-C22)*24,1),"")</f>
        <v/>
      </c>
      <c r="Y22" s="13" t="str">
        <f aca="false">IF(X22="","N/A",IF(X22&lt;=12,"Yes","No"))</f>
        <v>N/A</v>
      </c>
      <c r="Z22" s="13" t="str">
        <f aca="true">IF(B22="Pending",TODAY()-INT(C22),"")</f>
        <v/>
      </c>
    </row>
    <row r="23" customFormat="false" ht="15" hidden="false" customHeight="false" outlineLevel="0" collapsed="false">
      <c r="A23" s="13" t="s">
        <v>95</v>
      </c>
      <c r="B23" s="13" t="s">
        <v>39</v>
      </c>
      <c r="C23" s="14" t="n">
        <v>45924.5125</v>
      </c>
      <c r="D23" s="14" t="n">
        <v>45928.7291666667</v>
      </c>
      <c r="E23" s="15"/>
      <c r="F23" s="13" t="s">
        <v>96</v>
      </c>
      <c r="G23" s="13" t="s">
        <v>66</v>
      </c>
      <c r="H23" s="13" t="s">
        <v>53</v>
      </c>
      <c r="I23" s="13" t="s">
        <v>42</v>
      </c>
      <c r="J23" s="13" t="s">
        <v>59</v>
      </c>
      <c r="K23" s="13" t="s">
        <v>45</v>
      </c>
      <c r="L23" s="13" t="s">
        <v>60</v>
      </c>
      <c r="M23" s="13" t="s">
        <v>47</v>
      </c>
      <c r="N23" s="13" t="s">
        <v>79</v>
      </c>
      <c r="O23" s="13" t="s">
        <v>80</v>
      </c>
      <c r="P23" s="16"/>
      <c r="Q23" s="17"/>
      <c r="R23" s="13" t="s">
        <v>50</v>
      </c>
      <c r="S23" s="14" t="n">
        <v>45924.8451388889</v>
      </c>
      <c r="T23" s="13" t="str">
        <f aca="false">TEXT(D23,"mmm yyyy")</f>
        <v>Sep 2025</v>
      </c>
      <c r="U23" s="13" t="str">
        <f aca="false">TEXT(D23,"ddd")</f>
        <v>Sun</v>
      </c>
      <c r="V23" s="13" t="n">
        <f aca="false">INT(D23)-INT(C23)</f>
        <v>4</v>
      </c>
      <c r="W23" s="13" t="str">
        <f aca="false">IF(M23="","No","Yes")</f>
        <v>Yes</v>
      </c>
      <c r="X23" s="13" t="n">
        <f aca="false">IF(AND(W23="Yes",S23&lt;&gt;""),ROUND((S23-C23)*24,1),"")</f>
        <v>8</v>
      </c>
      <c r="Y23" s="13" t="str">
        <f aca="false">IF(X23="","N/A",IF(X23&lt;=12,"Yes","No"))</f>
        <v>Yes</v>
      </c>
      <c r="Z23" s="13" t="str">
        <f aca="true">IF(B23="Pending",TODAY()-INT(C23),"")</f>
        <v/>
      </c>
    </row>
    <row r="24" customFormat="false" ht="15" hidden="false" customHeight="false" outlineLevel="0" collapsed="false">
      <c r="A24" s="13" t="s">
        <v>97</v>
      </c>
      <c r="B24" s="13" t="s">
        <v>39</v>
      </c>
      <c r="C24" s="14" t="n">
        <v>45931.6159722222</v>
      </c>
      <c r="D24" s="14" t="n">
        <v>45935.7291666667</v>
      </c>
      <c r="E24" s="15" t="n">
        <v>0.0416666666666667</v>
      </c>
      <c r="F24" s="13" t="s">
        <v>73</v>
      </c>
      <c r="G24" s="13" t="s">
        <v>66</v>
      </c>
      <c r="H24" s="13" t="s">
        <v>42</v>
      </c>
      <c r="I24" s="13" t="s">
        <v>43</v>
      </c>
      <c r="J24" s="13" t="s">
        <v>44</v>
      </c>
      <c r="K24" s="13" t="s">
        <v>45</v>
      </c>
      <c r="L24" s="13" t="s">
        <v>46</v>
      </c>
      <c r="M24" s="13" t="s">
        <v>90</v>
      </c>
      <c r="N24" s="13" t="s">
        <v>48</v>
      </c>
      <c r="O24" s="13" t="s">
        <v>49</v>
      </c>
      <c r="P24" s="16"/>
      <c r="Q24" s="17"/>
      <c r="R24" s="13" t="s">
        <v>50</v>
      </c>
      <c r="S24" s="14" t="n">
        <v>45931.9930555556</v>
      </c>
      <c r="T24" s="13" t="str">
        <f aca="false">TEXT(D24,"mmm yyyy")</f>
        <v>Oct 2025</v>
      </c>
      <c r="U24" s="13" t="str">
        <f aca="false">TEXT(D24,"ddd")</f>
        <v>Sun</v>
      </c>
      <c r="V24" s="13" t="n">
        <f aca="false">INT(D24)-INT(C24)</f>
        <v>4</v>
      </c>
      <c r="W24" s="13" t="str">
        <f aca="false">IF(M24="","No","Yes")</f>
        <v>Yes</v>
      </c>
      <c r="X24" s="13" t="n">
        <f aca="false">IF(AND(W24="Yes",S24&lt;&gt;""),ROUND((S24-C24)*24,1),"")</f>
        <v>9.1</v>
      </c>
      <c r="Y24" s="13" t="str">
        <f aca="false">IF(X24="","N/A",IF(X24&lt;=12,"Yes","No"))</f>
        <v>Yes</v>
      </c>
      <c r="Z24" s="13" t="str">
        <f aca="true">IF(B24="Pending",TODAY()-INT(C24),"")</f>
        <v/>
      </c>
    </row>
    <row r="25" customFormat="false" ht="15" hidden="false" customHeight="false" outlineLevel="0" collapsed="false">
      <c r="A25" s="13" t="s">
        <v>98</v>
      </c>
      <c r="B25" s="13" t="s">
        <v>39</v>
      </c>
      <c r="C25" s="14" t="n">
        <v>45932.7305555556</v>
      </c>
      <c r="D25" s="14" t="n">
        <v>45936.5416666667</v>
      </c>
      <c r="E25" s="15"/>
      <c r="F25" s="13" t="s">
        <v>88</v>
      </c>
      <c r="G25" s="13" t="s">
        <v>66</v>
      </c>
      <c r="H25" s="13" t="s">
        <v>53</v>
      </c>
      <c r="I25" s="13" t="s">
        <v>42</v>
      </c>
      <c r="J25" s="13" t="s">
        <v>71</v>
      </c>
      <c r="K25" s="13" t="s">
        <v>45</v>
      </c>
      <c r="L25" s="13" t="s">
        <v>60</v>
      </c>
      <c r="M25" s="13" t="s">
        <v>54</v>
      </c>
      <c r="N25" s="13" t="s">
        <v>79</v>
      </c>
      <c r="O25" s="13" t="s">
        <v>80</v>
      </c>
      <c r="P25" s="16"/>
      <c r="Q25" s="17"/>
      <c r="R25" s="13" t="s">
        <v>50</v>
      </c>
      <c r="S25" s="14" t="n">
        <v>45933.0875</v>
      </c>
      <c r="T25" s="13" t="str">
        <f aca="false">TEXT(D25,"mmm yyyy")</f>
        <v>Oct 2025</v>
      </c>
      <c r="U25" s="13" t="str">
        <f aca="false">TEXT(D25,"ddd")</f>
        <v>Mon</v>
      </c>
      <c r="V25" s="13" t="n">
        <f aca="false">INT(D25)-INT(C25)</f>
        <v>4</v>
      </c>
      <c r="W25" s="13" t="str">
        <f aca="false">IF(M25="","No","Yes")</f>
        <v>Yes</v>
      </c>
      <c r="X25" s="13" t="n">
        <f aca="false">IF(AND(W25="Yes",S25&lt;&gt;""),ROUND((S25-C25)*24,1),"")</f>
        <v>8.6</v>
      </c>
      <c r="Y25" s="13" t="str">
        <f aca="false">IF(X25="","N/A",IF(X25&lt;=12,"Yes","No"))</f>
        <v>Yes</v>
      </c>
      <c r="Z25" s="13" t="str">
        <f aca="true">IF(B25="Pending",TODAY()-INT(C25),"")</f>
        <v/>
      </c>
    </row>
    <row r="26" customFormat="false" ht="15" hidden="false" customHeight="false" outlineLevel="0" collapsed="false">
      <c r="A26" s="13" t="s">
        <v>99</v>
      </c>
      <c r="B26" s="13" t="s">
        <v>39</v>
      </c>
      <c r="C26" s="14" t="n">
        <v>45933.4576388889</v>
      </c>
      <c r="D26" s="14" t="n">
        <v>45937.5416666667</v>
      </c>
      <c r="E26" s="15"/>
      <c r="F26" s="13" t="s">
        <v>40</v>
      </c>
      <c r="G26" s="13" t="s">
        <v>66</v>
      </c>
      <c r="H26" s="13" t="s">
        <v>42</v>
      </c>
      <c r="I26" s="13" t="s">
        <v>67</v>
      </c>
      <c r="J26" s="13" t="s">
        <v>71</v>
      </c>
      <c r="K26" s="13" t="s">
        <v>45</v>
      </c>
      <c r="L26" s="13" t="s">
        <v>60</v>
      </c>
      <c r="M26" s="13" t="s">
        <v>54</v>
      </c>
      <c r="N26" s="13" t="s">
        <v>55</v>
      </c>
      <c r="O26" s="13" t="s">
        <v>56</v>
      </c>
      <c r="P26" s="16"/>
      <c r="Q26" s="17"/>
      <c r="R26" s="13" t="s">
        <v>50</v>
      </c>
      <c r="S26" s="14" t="n">
        <v>45933.8527777778</v>
      </c>
      <c r="T26" s="13" t="str">
        <f aca="false">TEXT(D26,"mmm yyyy")</f>
        <v>Oct 2025</v>
      </c>
      <c r="U26" s="13" t="str">
        <f aca="false">TEXT(D26,"ddd")</f>
        <v>Tue</v>
      </c>
      <c r="V26" s="13" t="n">
        <f aca="false">INT(D26)-INT(C26)</f>
        <v>4</v>
      </c>
      <c r="W26" s="13" t="str">
        <f aca="false">IF(M26="","No","Yes")</f>
        <v>Yes</v>
      </c>
      <c r="X26" s="13" t="n">
        <f aca="false">IF(AND(W26="Yes",S26&lt;&gt;""),ROUND((S26-C26)*24,1),"")</f>
        <v>9.5</v>
      </c>
      <c r="Y26" s="13" t="str">
        <f aca="false">IF(X26="","N/A",IF(X26&lt;=12,"Yes","No"))</f>
        <v>Yes</v>
      </c>
      <c r="Z26" s="13" t="str">
        <f aca="true">IF(B26="Pending",TODAY()-INT(C26),"")</f>
        <v/>
      </c>
    </row>
    <row r="27" customFormat="false" ht="15" hidden="false" customHeight="false" outlineLevel="0" collapsed="false">
      <c r="A27" s="13" t="s">
        <v>100</v>
      </c>
      <c r="B27" s="13" t="s">
        <v>39</v>
      </c>
      <c r="C27" s="14" t="n">
        <v>45935.6076388889</v>
      </c>
      <c r="D27" s="14" t="n">
        <v>45939.3333333333</v>
      </c>
      <c r="E27" s="15"/>
      <c r="F27" s="13" t="s">
        <v>52</v>
      </c>
      <c r="G27" s="13" t="s">
        <v>66</v>
      </c>
      <c r="H27" s="13" t="s">
        <v>53</v>
      </c>
      <c r="I27" s="13" t="s">
        <v>42</v>
      </c>
      <c r="J27" s="13" t="s">
        <v>59</v>
      </c>
      <c r="K27" s="13" t="s">
        <v>45</v>
      </c>
      <c r="L27" s="13" t="s">
        <v>60</v>
      </c>
      <c r="M27" s="13" t="s">
        <v>90</v>
      </c>
      <c r="N27" s="13" t="s">
        <v>79</v>
      </c>
      <c r="O27" s="13" t="s">
        <v>80</v>
      </c>
      <c r="P27" s="16"/>
      <c r="Q27" s="17"/>
      <c r="R27" s="13" t="s">
        <v>50</v>
      </c>
      <c r="S27" s="14" t="n">
        <v>45936.0833333333</v>
      </c>
      <c r="T27" s="13" t="str">
        <f aca="false">TEXT(D27,"mmm yyyy")</f>
        <v>Oct 2025</v>
      </c>
      <c r="U27" s="13" t="str">
        <f aca="false">TEXT(D27,"ddd")</f>
        <v>Thu</v>
      </c>
      <c r="V27" s="13" t="n">
        <f aca="false">INT(D27)-INT(C27)</f>
        <v>4</v>
      </c>
      <c r="W27" s="13" t="str">
        <f aca="false">IF(M27="","No","Yes")</f>
        <v>Yes</v>
      </c>
      <c r="X27" s="13" t="n">
        <f aca="false">IF(AND(W27="Yes",S27&lt;&gt;""),ROUND((S27-C27)*24,1),"")</f>
        <v>11.4</v>
      </c>
      <c r="Y27" s="13" t="str">
        <f aca="false">IF(X27="","N/A",IF(X27&lt;=12,"Yes","No"))</f>
        <v>Yes</v>
      </c>
      <c r="Z27" s="13" t="str">
        <f aca="true">IF(B27="Pending",TODAY()-INT(C27),"")</f>
        <v/>
      </c>
    </row>
    <row r="28" customFormat="false" ht="15" hidden="false" customHeight="false" outlineLevel="0" collapsed="false">
      <c r="A28" s="13" t="s">
        <v>101</v>
      </c>
      <c r="B28" s="13" t="s">
        <v>69</v>
      </c>
      <c r="C28" s="14" t="n">
        <v>45935.6430555556</v>
      </c>
      <c r="D28" s="14" t="n">
        <v>45939.3333333333</v>
      </c>
      <c r="E28" s="15"/>
      <c r="F28" s="13" t="s">
        <v>52</v>
      </c>
      <c r="G28" s="13" t="s">
        <v>41</v>
      </c>
      <c r="H28" s="13" t="s">
        <v>53</v>
      </c>
      <c r="I28" s="13" t="s">
        <v>42</v>
      </c>
      <c r="J28" s="13" t="s">
        <v>71</v>
      </c>
      <c r="K28" s="13" t="s">
        <v>45</v>
      </c>
      <c r="L28" s="13" t="s">
        <v>60</v>
      </c>
      <c r="M28" s="13"/>
      <c r="N28" s="13"/>
      <c r="O28" s="13"/>
      <c r="P28" s="16"/>
      <c r="Q28" s="17"/>
      <c r="R28" s="13" t="s">
        <v>50</v>
      </c>
      <c r="S28" s="14" t="n">
        <v>45935.7972222222</v>
      </c>
      <c r="T28" s="13" t="str">
        <f aca="false">TEXT(D28,"mmm yyyy")</f>
        <v>Oct 2025</v>
      </c>
      <c r="U28" s="13" t="str">
        <f aca="false">TEXT(D28,"ddd")</f>
        <v>Thu</v>
      </c>
      <c r="V28" s="13" t="n">
        <f aca="false">INT(D28)-INT(C28)</f>
        <v>4</v>
      </c>
      <c r="W28" s="13" t="str">
        <f aca="false">IF(M28="","No","Yes")</f>
        <v>No</v>
      </c>
      <c r="X28" s="13" t="str">
        <f aca="false">IF(AND(W28="Yes",S28&lt;&gt;""),ROUND((S28-C28)*24,1),"")</f>
        <v/>
      </c>
      <c r="Y28" s="13" t="str">
        <f aca="false">IF(X28="","N/A",IF(X28&lt;=12,"Yes","No"))</f>
        <v>N/A</v>
      </c>
      <c r="Z28" s="13" t="str">
        <f aca="true">IF(B28="Pending",TODAY()-INT(C28),"")</f>
        <v/>
      </c>
    </row>
    <row r="29" customFormat="false" ht="15" hidden="false" customHeight="false" outlineLevel="0" collapsed="false">
      <c r="A29" s="13" t="s">
        <v>102</v>
      </c>
      <c r="B29" s="13" t="s">
        <v>69</v>
      </c>
      <c r="C29" s="14" t="n">
        <v>45938.4145833333</v>
      </c>
      <c r="D29" s="14" t="n">
        <v>45942.5416666667</v>
      </c>
      <c r="E29" s="15"/>
      <c r="F29" s="13" t="s">
        <v>40</v>
      </c>
      <c r="G29" s="13" t="s">
        <v>41</v>
      </c>
      <c r="H29" s="13" t="s">
        <v>53</v>
      </c>
      <c r="I29" s="13" t="s">
        <v>78</v>
      </c>
      <c r="J29" s="13" t="s">
        <v>71</v>
      </c>
      <c r="K29" s="13" t="s">
        <v>45</v>
      </c>
      <c r="L29" s="13" t="s">
        <v>60</v>
      </c>
      <c r="M29" s="13"/>
      <c r="N29" s="13"/>
      <c r="O29" s="13"/>
      <c r="P29" s="16"/>
      <c r="Q29" s="17"/>
      <c r="R29" s="13" t="s">
        <v>50</v>
      </c>
      <c r="S29" s="14" t="n">
        <v>45938.7263888889</v>
      </c>
      <c r="T29" s="13" t="str">
        <f aca="false">TEXT(D29,"mmm yyyy")</f>
        <v>Oct 2025</v>
      </c>
      <c r="U29" s="13" t="str">
        <f aca="false">TEXT(D29,"ddd")</f>
        <v>Sun</v>
      </c>
      <c r="V29" s="13" t="n">
        <f aca="false">INT(D29)-INT(C29)</f>
        <v>4</v>
      </c>
      <c r="W29" s="13" t="str">
        <f aca="false">IF(M29="","No","Yes")</f>
        <v>No</v>
      </c>
      <c r="X29" s="13" t="str">
        <f aca="false">IF(AND(W29="Yes",S29&lt;&gt;""),ROUND((S29-C29)*24,1),"")</f>
        <v/>
      </c>
      <c r="Y29" s="13" t="str">
        <f aca="false">IF(X29="","N/A",IF(X29&lt;=12,"Yes","No"))</f>
        <v>N/A</v>
      </c>
      <c r="Z29" s="13" t="str">
        <f aca="true">IF(B29="Pending",TODAY()-INT(C29),"")</f>
        <v/>
      </c>
    </row>
    <row r="30" customFormat="false" ht="15" hidden="false" customHeight="false" outlineLevel="0" collapsed="false">
      <c r="A30" s="13" t="s">
        <v>103</v>
      </c>
      <c r="B30" s="13" t="s">
        <v>39</v>
      </c>
      <c r="C30" s="14" t="n">
        <v>45940.4638888889</v>
      </c>
      <c r="D30" s="14" t="n">
        <v>45944.2916666667</v>
      </c>
      <c r="E30" s="15" t="n">
        <v>0.708333333333333</v>
      </c>
      <c r="F30" s="13" t="s">
        <v>96</v>
      </c>
      <c r="G30" s="13" t="s">
        <v>41</v>
      </c>
      <c r="H30" s="13" t="s">
        <v>42</v>
      </c>
      <c r="I30" s="13" t="s">
        <v>43</v>
      </c>
      <c r="J30" s="13" t="s">
        <v>44</v>
      </c>
      <c r="K30" s="13" t="s">
        <v>45</v>
      </c>
      <c r="L30" s="13" t="s">
        <v>46</v>
      </c>
      <c r="M30" s="13" t="s">
        <v>47</v>
      </c>
      <c r="N30" s="13" t="s">
        <v>48</v>
      </c>
      <c r="O30" s="13" t="s">
        <v>49</v>
      </c>
      <c r="P30" s="16"/>
      <c r="Q30" s="17"/>
      <c r="R30" s="13" t="s">
        <v>50</v>
      </c>
      <c r="S30" s="14" t="n">
        <v>45941.5881944444</v>
      </c>
      <c r="T30" s="13" t="str">
        <f aca="false">TEXT(D30,"mmm yyyy")</f>
        <v>Oct 2025</v>
      </c>
      <c r="U30" s="13" t="str">
        <f aca="false">TEXT(D30,"ddd")</f>
        <v>Tue</v>
      </c>
      <c r="V30" s="13" t="n">
        <f aca="false">INT(D30)-INT(C30)</f>
        <v>4</v>
      </c>
      <c r="W30" s="13" t="str">
        <f aca="false">IF(M30="","No","Yes")</f>
        <v>Yes</v>
      </c>
      <c r="X30" s="13" t="n">
        <f aca="false">IF(AND(W30="Yes",S30&lt;&gt;""),ROUND((S30-C30)*24,1),"")</f>
        <v>27</v>
      </c>
      <c r="Y30" s="13" t="str">
        <f aca="false">IF(X30="","N/A",IF(X30&lt;=12,"Yes","No"))</f>
        <v>No</v>
      </c>
      <c r="Z30" s="13" t="str">
        <f aca="true">IF(B30="Pending",TODAY()-INT(C30),"")</f>
        <v/>
      </c>
    </row>
    <row r="31" customFormat="false" ht="15" hidden="false" customHeight="false" outlineLevel="0" collapsed="false">
      <c r="A31" s="13" t="s">
        <v>104</v>
      </c>
      <c r="B31" s="13" t="s">
        <v>65</v>
      </c>
      <c r="C31" s="14" t="n">
        <v>45940.6222222222</v>
      </c>
      <c r="D31" s="14" t="n">
        <v>45944.5416666667</v>
      </c>
      <c r="E31" s="15"/>
      <c r="F31" s="13" t="s">
        <v>40</v>
      </c>
      <c r="G31" s="13" t="s">
        <v>66</v>
      </c>
      <c r="H31" s="13" t="s">
        <v>53</v>
      </c>
      <c r="I31" s="13" t="s">
        <v>78</v>
      </c>
      <c r="J31" s="13" t="s">
        <v>71</v>
      </c>
      <c r="K31" s="13" t="s">
        <v>45</v>
      </c>
      <c r="L31" s="13" t="s">
        <v>60</v>
      </c>
      <c r="M31" s="13"/>
      <c r="N31" s="13"/>
      <c r="O31" s="13"/>
      <c r="P31" s="16"/>
      <c r="Q31" s="17"/>
      <c r="R31" s="13" t="s">
        <v>50</v>
      </c>
      <c r="S31" s="14" t="n">
        <v>45941.2069444444</v>
      </c>
      <c r="T31" s="13" t="str">
        <f aca="false">TEXT(D31,"mmm yyyy")</f>
        <v>Oct 2025</v>
      </c>
      <c r="U31" s="13" t="str">
        <f aca="false">TEXT(D31,"ddd")</f>
        <v>Tue</v>
      </c>
      <c r="V31" s="13" t="n">
        <f aca="false">INT(D31)-INT(C31)</f>
        <v>4</v>
      </c>
      <c r="W31" s="13" t="str">
        <f aca="false">IF(M31="","No","Yes")</f>
        <v>No</v>
      </c>
      <c r="X31" s="13" t="str">
        <f aca="false">IF(AND(W31="Yes",S31&lt;&gt;""),ROUND((S31-C31)*24,1),"")</f>
        <v/>
      </c>
      <c r="Y31" s="13" t="str">
        <f aca="false">IF(X31="","N/A",IF(X31&lt;=12,"Yes","No"))</f>
        <v>N/A</v>
      </c>
      <c r="Z31" s="13" t="str">
        <f aca="true">IF(B31="Pending",TODAY()-INT(C31),"")</f>
        <v/>
      </c>
    </row>
    <row r="32" customFormat="false" ht="15" hidden="false" customHeight="false" outlineLevel="0" collapsed="false">
      <c r="A32" s="13" t="s">
        <v>105</v>
      </c>
      <c r="B32" s="13" t="s">
        <v>39</v>
      </c>
      <c r="C32" s="14" t="n">
        <v>45946.5472222222</v>
      </c>
      <c r="D32" s="14" t="n">
        <v>45950.2708333333</v>
      </c>
      <c r="E32" s="15"/>
      <c r="F32" s="13" t="s">
        <v>40</v>
      </c>
      <c r="G32" s="13" t="s">
        <v>66</v>
      </c>
      <c r="H32" s="13" t="s">
        <v>42</v>
      </c>
      <c r="I32" s="13" t="s">
        <v>67</v>
      </c>
      <c r="J32" s="13" t="s">
        <v>44</v>
      </c>
      <c r="K32" s="13" t="s">
        <v>45</v>
      </c>
      <c r="L32" s="13" t="s">
        <v>60</v>
      </c>
      <c r="M32" s="13" t="s">
        <v>47</v>
      </c>
      <c r="N32" s="13" t="s">
        <v>62</v>
      </c>
      <c r="O32" s="13" t="s">
        <v>63</v>
      </c>
      <c r="P32" s="16"/>
      <c r="Q32" s="17"/>
      <c r="R32" s="13" t="s">
        <v>50</v>
      </c>
      <c r="S32" s="14" t="n">
        <v>45946.6076388889</v>
      </c>
      <c r="T32" s="13" t="str">
        <f aca="false">TEXT(D32,"mmm yyyy")</f>
        <v>Oct 2025</v>
      </c>
      <c r="U32" s="13" t="str">
        <f aca="false">TEXT(D32,"ddd")</f>
        <v>Mon</v>
      </c>
      <c r="V32" s="13" t="n">
        <f aca="false">INT(D32)-INT(C32)</f>
        <v>4</v>
      </c>
      <c r="W32" s="13" t="str">
        <f aca="false">IF(M32="","No","Yes")</f>
        <v>Yes</v>
      </c>
      <c r="X32" s="13" t="n">
        <f aca="false">IF(AND(W32="Yes",S32&lt;&gt;""),ROUND((S32-C32)*24,1),"")</f>
        <v>1.5</v>
      </c>
      <c r="Y32" s="13" t="str">
        <f aca="false">IF(X32="","N/A",IF(X32&lt;=12,"Yes","No"))</f>
        <v>Yes</v>
      </c>
      <c r="Z32" s="13" t="str">
        <f aca="true">IF(B32="Pending",TODAY()-INT(C32),"")</f>
        <v/>
      </c>
    </row>
    <row r="33" customFormat="false" ht="15" hidden="false" customHeight="false" outlineLevel="0" collapsed="false">
      <c r="A33" s="13" t="s">
        <v>106</v>
      </c>
      <c r="B33" s="13" t="s">
        <v>39</v>
      </c>
      <c r="C33" s="14" t="n">
        <v>45947.3993055556</v>
      </c>
      <c r="D33" s="14" t="n">
        <v>45951.5416666667</v>
      </c>
      <c r="E33" s="15"/>
      <c r="F33" s="13" t="s">
        <v>73</v>
      </c>
      <c r="G33" s="13" t="s">
        <v>41</v>
      </c>
      <c r="H33" s="13" t="s">
        <v>42</v>
      </c>
      <c r="I33" s="13" t="s">
        <v>53</v>
      </c>
      <c r="J33" s="13" t="s">
        <v>71</v>
      </c>
      <c r="K33" s="13" t="s">
        <v>45</v>
      </c>
      <c r="L33" s="13" t="s">
        <v>60</v>
      </c>
      <c r="M33" s="13" t="s">
        <v>90</v>
      </c>
      <c r="N33" s="13" t="s">
        <v>48</v>
      </c>
      <c r="O33" s="13" t="s">
        <v>49</v>
      </c>
      <c r="P33" s="16"/>
      <c r="Q33" s="17"/>
      <c r="R33" s="13" t="s">
        <v>50</v>
      </c>
      <c r="S33" s="14" t="n">
        <v>45947.6777777778</v>
      </c>
      <c r="T33" s="13" t="str">
        <f aca="false">TEXT(D33,"mmm yyyy")</f>
        <v>Oct 2025</v>
      </c>
      <c r="U33" s="13" t="str">
        <f aca="false">TEXT(D33,"ddd")</f>
        <v>Tue</v>
      </c>
      <c r="V33" s="13" t="n">
        <f aca="false">INT(D33)-INT(C33)</f>
        <v>4</v>
      </c>
      <c r="W33" s="13" t="str">
        <f aca="false">IF(M33="","No","Yes")</f>
        <v>Yes</v>
      </c>
      <c r="X33" s="13" t="n">
        <f aca="false">IF(AND(W33="Yes",S33&lt;&gt;""),ROUND((S33-C33)*24,1),"")</f>
        <v>6.7</v>
      </c>
      <c r="Y33" s="13" t="str">
        <f aca="false">IF(X33="","N/A",IF(X33&lt;=12,"Yes","No"))</f>
        <v>Yes</v>
      </c>
      <c r="Z33" s="13" t="str">
        <f aca="true">IF(B33="Pending",TODAY()-INT(C33),"")</f>
        <v/>
      </c>
    </row>
    <row r="34" customFormat="false" ht="15" hidden="false" customHeight="false" outlineLevel="0" collapsed="false">
      <c r="A34" s="13" t="s">
        <v>107</v>
      </c>
      <c r="B34" s="13" t="s">
        <v>39</v>
      </c>
      <c r="C34" s="14" t="n">
        <v>45948.4340277778</v>
      </c>
      <c r="D34" s="14" t="n">
        <v>45952.5416666667</v>
      </c>
      <c r="E34" s="15"/>
      <c r="F34" s="13" t="s">
        <v>58</v>
      </c>
      <c r="G34" s="13" t="s">
        <v>66</v>
      </c>
      <c r="H34" s="13" t="s">
        <v>53</v>
      </c>
      <c r="I34" s="13" t="s">
        <v>78</v>
      </c>
      <c r="J34" s="13" t="s">
        <v>44</v>
      </c>
      <c r="K34" s="13" t="s">
        <v>45</v>
      </c>
      <c r="L34" s="13" t="s">
        <v>60</v>
      </c>
      <c r="M34" s="13" t="s">
        <v>61</v>
      </c>
      <c r="N34" s="13" t="s">
        <v>79</v>
      </c>
      <c r="O34" s="13" t="s">
        <v>80</v>
      </c>
      <c r="P34" s="16"/>
      <c r="Q34" s="17"/>
      <c r="R34" s="13" t="s">
        <v>50</v>
      </c>
      <c r="S34" s="14" t="n">
        <v>45949.5916666667</v>
      </c>
      <c r="T34" s="13" t="str">
        <f aca="false">TEXT(D34,"mmm yyyy")</f>
        <v>Oct 2025</v>
      </c>
      <c r="U34" s="13" t="str">
        <f aca="false">TEXT(D34,"ddd")</f>
        <v>Wed</v>
      </c>
      <c r="V34" s="13" t="n">
        <f aca="false">INT(D34)-INT(C34)</f>
        <v>4</v>
      </c>
      <c r="W34" s="13" t="str">
        <f aca="false">IF(M34="","No","Yes")</f>
        <v>Yes</v>
      </c>
      <c r="X34" s="13" t="n">
        <f aca="false">IF(AND(W34="Yes",S34&lt;&gt;""),ROUND((S34-C34)*24,1),"")</f>
        <v>27.8</v>
      </c>
      <c r="Y34" s="13" t="str">
        <f aca="false">IF(X34="","N/A",IF(X34&lt;=12,"Yes","No"))</f>
        <v>No</v>
      </c>
      <c r="Z34" s="13" t="str">
        <f aca="true">IF(B34="Pending",TODAY()-INT(C34),"")</f>
        <v/>
      </c>
    </row>
    <row r="35" customFormat="false" ht="15" hidden="false" customHeight="false" outlineLevel="0" collapsed="false">
      <c r="A35" s="13" t="s">
        <v>108</v>
      </c>
      <c r="B35" s="13" t="s">
        <v>65</v>
      </c>
      <c r="C35" s="14" t="n">
        <v>45949.6451388889</v>
      </c>
      <c r="D35" s="14" t="n">
        <v>45953.2708333333</v>
      </c>
      <c r="E35" s="15" t="n">
        <v>0.708333333333333</v>
      </c>
      <c r="F35" s="13" t="s">
        <v>88</v>
      </c>
      <c r="G35" s="13" t="s">
        <v>66</v>
      </c>
      <c r="H35" s="13" t="s">
        <v>53</v>
      </c>
      <c r="I35" s="13" t="s">
        <v>43</v>
      </c>
      <c r="J35" s="13" t="s">
        <v>44</v>
      </c>
      <c r="K35" s="13" t="s">
        <v>45</v>
      </c>
      <c r="L35" s="13" t="s">
        <v>46</v>
      </c>
      <c r="M35" s="13"/>
      <c r="N35" s="13"/>
      <c r="O35" s="13"/>
      <c r="P35" s="16"/>
      <c r="Q35" s="17"/>
      <c r="R35" s="13" t="s">
        <v>50</v>
      </c>
      <c r="S35" s="14" t="n">
        <v>45949.85</v>
      </c>
      <c r="T35" s="13" t="str">
        <f aca="false">TEXT(D35,"mmm yyyy")</f>
        <v>Oct 2025</v>
      </c>
      <c r="U35" s="13" t="str">
        <f aca="false">TEXT(D35,"ddd")</f>
        <v>Thu</v>
      </c>
      <c r="V35" s="13" t="n">
        <f aca="false">INT(D35)-INT(C35)</f>
        <v>4</v>
      </c>
      <c r="W35" s="13" t="str">
        <f aca="false">IF(M35="","No","Yes")</f>
        <v>No</v>
      </c>
      <c r="X35" s="13" t="str">
        <f aca="false">IF(AND(W35="Yes",S35&lt;&gt;""),ROUND((S35-C35)*24,1),"")</f>
        <v/>
      </c>
      <c r="Y35" s="13" t="str">
        <f aca="false">IF(X35="","N/A",IF(X35&lt;=12,"Yes","No"))</f>
        <v>N/A</v>
      </c>
      <c r="Z35" s="13" t="str">
        <f aca="true">IF(B35="Pending",TODAY()-INT(C35),"")</f>
        <v/>
      </c>
    </row>
    <row r="36" customFormat="false" ht="15" hidden="false" customHeight="false" outlineLevel="0" collapsed="false">
      <c r="A36" s="13" t="s">
        <v>109</v>
      </c>
      <c r="B36" s="13" t="s">
        <v>39</v>
      </c>
      <c r="C36" s="14" t="n">
        <v>45949.7305555556</v>
      </c>
      <c r="D36" s="14" t="n">
        <v>45953.3333333333</v>
      </c>
      <c r="E36" s="15"/>
      <c r="F36" s="13" t="s">
        <v>58</v>
      </c>
      <c r="G36" s="13" t="s">
        <v>66</v>
      </c>
      <c r="H36" s="13" t="s">
        <v>53</v>
      </c>
      <c r="I36" s="13" t="s">
        <v>42</v>
      </c>
      <c r="J36" s="13" t="s">
        <v>59</v>
      </c>
      <c r="K36" s="13" t="s">
        <v>45</v>
      </c>
      <c r="L36" s="13" t="s">
        <v>60</v>
      </c>
      <c r="M36" s="13" t="s">
        <v>54</v>
      </c>
      <c r="N36" s="13" t="s">
        <v>55</v>
      </c>
      <c r="O36" s="13" t="s">
        <v>56</v>
      </c>
      <c r="P36" s="16"/>
      <c r="Q36" s="17"/>
      <c r="R36" s="13" t="s">
        <v>50</v>
      </c>
      <c r="S36" s="14" t="n">
        <v>45949.8277777778</v>
      </c>
      <c r="T36" s="13" t="str">
        <f aca="false">TEXT(D36,"mmm yyyy")</f>
        <v>Oct 2025</v>
      </c>
      <c r="U36" s="13" t="str">
        <f aca="false">TEXT(D36,"ddd")</f>
        <v>Thu</v>
      </c>
      <c r="V36" s="13" t="n">
        <f aca="false">INT(D36)-INT(C36)</f>
        <v>4</v>
      </c>
      <c r="W36" s="13" t="str">
        <f aca="false">IF(M36="","No","Yes")</f>
        <v>Yes</v>
      </c>
      <c r="X36" s="13" t="n">
        <f aca="false">IF(AND(W36="Yes",S36&lt;&gt;""),ROUND((S36-C36)*24,1),"")</f>
        <v>2.3</v>
      </c>
      <c r="Y36" s="13" t="str">
        <f aca="false">IF(X36="","N/A",IF(X36&lt;=12,"Yes","No"))</f>
        <v>Yes</v>
      </c>
      <c r="Z36" s="13" t="str">
        <f aca="true">IF(B36="Pending",TODAY()-INT(C36),"")</f>
        <v/>
      </c>
    </row>
    <row r="37" customFormat="false" ht="15" hidden="false" customHeight="false" outlineLevel="0" collapsed="false">
      <c r="A37" s="13" t="s">
        <v>110</v>
      </c>
      <c r="B37" s="13" t="s">
        <v>39</v>
      </c>
      <c r="C37" s="14" t="n">
        <v>45950.4993055556</v>
      </c>
      <c r="D37" s="14" t="n">
        <v>45954.7291666667</v>
      </c>
      <c r="E37" s="15" t="n">
        <v>0.0416666666666667</v>
      </c>
      <c r="F37" s="13" t="s">
        <v>88</v>
      </c>
      <c r="G37" s="13" t="s">
        <v>41</v>
      </c>
      <c r="H37" s="13" t="s">
        <v>53</v>
      </c>
      <c r="I37" s="13" t="s">
        <v>43</v>
      </c>
      <c r="J37" s="13" t="s">
        <v>44</v>
      </c>
      <c r="K37" s="13" t="s">
        <v>45</v>
      </c>
      <c r="L37" s="13" t="s">
        <v>46</v>
      </c>
      <c r="M37" s="13" t="s">
        <v>61</v>
      </c>
      <c r="N37" s="13" t="s">
        <v>79</v>
      </c>
      <c r="O37" s="13" t="s">
        <v>80</v>
      </c>
      <c r="P37" s="16"/>
      <c r="Q37" s="17"/>
      <c r="R37" s="13" t="s">
        <v>50</v>
      </c>
      <c r="S37" s="14" t="n">
        <v>45950.6673611111</v>
      </c>
      <c r="T37" s="13" t="str">
        <f aca="false">TEXT(D37,"mmm yyyy")</f>
        <v>Oct 2025</v>
      </c>
      <c r="U37" s="13" t="str">
        <f aca="false">TEXT(D37,"ddd")</f>
        <v>Fri</v>
      </c>
      <c r="V37" s="13" t="n">
        <f aca="false">INT(D37)-INT(C37)</f>
        <v>4</v>
      </c>
      <c r="W37" s="13" t="str">
        <f aca="false">IF(M37="","No","Yes")</f>
        <v>Yes</v>
      </c>
      <c r="X37" s="13" t="n">
        <f aca="false">IF(AND(W37="Yes",S37&lt;&gt;""),ROUND((S37-C37)*24,1),"")</f>
        <v>4</v>
      </c>
      <c r="Y37" s="13" t="str">
        <f aca="false">IF(X37="","N/A",IF(X37&lt;=12,"Yes","No"))</f>
        <v>Yes</v>
      </c>
      <c r="Z37" s="13" t="str">
        <f aca="true">IF(B37="Pending",TODAY()-INT(C37),"")</f>
        <v/>
      </c>
    </row>
    <row r="38" customFormat="false" ht="15" hidden="false" customHeight="false" outlineLevel="0" collapsed="false">
      <c r="A38" s="13" t="s">
        <v>111</v>
      </c>
      <c r="B38" s="13" t="s">
        <v>39</v>
      </c>
      <c r="C38" s="14" t="n">
        <v>45951.6590277778</v>
      </c>
      <c r="D38" s="14" t="n">
        <v>45955.5416666667</v>
      </c>
      <c r="E38" s="15"/>
      <c r="F38" s="13" t="s">
        <v>52</v>
      </c>
      <c r="G38" s="13" t="s">
        <v>66</v>
      </c>
      <c r="H38" s="13" t="s">
        <v>42</v>
      </c>
      <c r="I38" s="13" t="s">
        <v>53</v>
      </c>
      <c r="J38" s="13" t="s">
        <v>71</v>
      </c>
      <c r="K38" s="13" t="s">
        <v>45</v>
      </c>
      <c r="L38" s="13" t="s">
        <v>60</v>
      </c>
      <c r="M38" s="13" t="s">
        <v>47</v>
      </c>
      <c r="N38" s="13" t="s">
        <v>79</v>
      </c>
      <c r="O38" s="13" t="s">
        <v>80</v>
      </c>
      <c r="P38" s="16"/>
      <c r="Q38" s="17"/>
      <c r="R38" s="13" t="s">
        <v>50</v>
      </c>
      <c r="S38" s="14" t="n">
        <v>45951.8006944444</v>
      </c>
      <c r="T38" s="13" t="str">
        <f aca="false">TEXT(D38,"mmm yyyy")</f>
        <v>Oct 2025</v>
      </c>
      <c r="U38" s="13" t="str">
        <f aca="false">TEXT(D38,"ddd")</f>
        <v>Sat</v>
      </c>
      <c r="V38" s="13" t="n">
        <f aca="false">INT(D38)-INT(C38)</f>
        <v>4</v>
      </c>
      <c r="W38" s="13" t="str">
        <f aca="false">IF(M38="","No","Yes")</f>
        <v>Yes</v>
      </c>
      <c r="X38" s="13" t="n">
        <f aca="false">IF(AND(W38="Yes",S38&lt;&gt;""),ROUND((S38-C38)*24,1),"")</f>
        <v>3.4</v>
      </c>
      <c r="Y38" s="13" t="str">
        <f aca="false">IF(X38="","N/A",IF(X38&lt;=12,"Yes","No"))</f>
        <v>Yes</v>
      </c>
      <c r="Z38" s="13" t="str">
        <f aca="true">IF(B38="Pending",TODAY()-INT(C38),"")</f>
        <v/>
      </c>
    </row>
    <row r="39" customFormat="false" ht="15" hidden="false" customHeight="false" outlineLevel="0" collapsed="false">
      <c r="A39" s="13" t="s">
        <v>112</v>
      </c>
      <c r="B39" s="13" t="s">
        <v>39</v>
      </c>
      <c r="C39" s="14" t="n">
        <v>45952.6625</v>
      </c>
      <c r="D39" s="14" t="n">
        <v>45956.5416666667</v>
      </c>
      <c r="E39" s="15" t="n">
        <v>0.708333333333333</v>
      </c>
      <c r="F39" s="13" t="s">
        <v>52</v>
      </c>
      <c r="G39" s="13" t="s">
        <v>41</v>
      </c>
      <c r="H39" s="13" t="s">
        <v>53</v>
      </c>
      <c r="I39" s="13" t="s">
        <v>43</v>
      </c>
      <c r="J39" s="13" t="s">
        <v>44</v>
      </c>
      <c r="K39" s="13" t="s">
        <v>45</v>
      </c>
      <c r="L39" s="13" t="s">
        <v>46</v>
      </c>
      <c r="M39" s="13" t="s">
        <v>47</v>
      </c>
      <c r="N39" s="13" t="s">
        <v>79</v>
      </c>
      <c r="O39" s="13" t="s">
        <v>80</v>
      </c>
      <c r="P39" s="16"/>
      <c r="Q39" s="17"/>
      <c r="R39" s="13" t="s">
        <v>50</v>
      </c>
      <c r="S39" s="14" t="n">
        <v>45952.8465277778</v>
      </c>
      <c r="T39" s="13" t="str">
        <f aca="false">TEXT(D39,"mmm yyyy")</f>
        <v>Oct 2025</v>
      </c>
      <c r="U39" s="13" t="str">
        <f aca="false">TEXT(D39,"ddd")</f>
        <v>Sun</v>
      </c>
      <c r="V39" s="13" t="n">
        <f aca="false">INT(D39)-INT(C39)</f>
        <v>4</v>
      </c>
      <c r="W39" s="13" t="str">
        <f aca="false">IF(M39="","No","Yes")</f>
        <v>Yes</v>
      </c>
      <c r="X39" s="13" t="n">
        <f aca="false">IF(AND(W39="Yes",S39&lt;&gt;""),ROUND((S39-C39)*24,1),"")</f>
        <v>4.4</v>
      </c>
      <c r="Y39" s="13" t="str">
        <f aca="false">IF(X39="","N/A",IF(X39&lt;=12,"Yes","No"))</f>
        <v>Yes</v>
      </c>
      <c r="Z39" s="13" t="str">
        <f aca="true">IF(B39="Pending",TODAY()-INT(C39),"")</f>
        <v/>
      </c>
    </row>
    <row r="40" customFormat="false" ht="15" hidden="false" customHeight="false" outlineLevel="0" collapsed="false">
      <c r="A40" s="13" t="s">
        <v>113</v>
      </c>
      <c r="B40" s="13" t="s">
        <v>39</v>
      </c>
      <c r="C40" s="14" t="n">
        <v>45956.4715277778</v>
      </c>
      <c r="D40" s="14" t="n">
        <v>45958.2916666667</v>
      </c>
      <c r="E40" s="15"/>
      <c r="F40" s="13" t="s">
        <v>96</v>
      </c>
      <c r="G40" s="13" t="s">
        <v>66</v>
      </c>
      <c r="H40" s="13" t="s">
        <v>53</v>
      </c>
      <c r="I40" s="13" t="s">
        <v>78</v>
      </c>
      <c r="J40" s="13" t="s">
        <v>44</v>
      </c>
      <c r="K40" s="13" t="s">
        <v>45</v>
      </c>
      <c r="L40" s="13" t="s">
        <v>60</v>
      </c>
      <c r="M40" s="13" t="s">
        <v>90</v>
      </c>
      <c r="N40" s="13" t="s">
        <v>48</v>
      </c>
      <c r="O40" s="13" t="s">
        <v>49</v>
      </c>
      <c r="P40" s="16"/>
      <c r="Q40" s="17"/>
      <c r="R40" s="13" t="s">
        <v>50</v>
      </c>
      <c r="S40" s="14" t="n">
        <v>45956.7215277778</v>
      </c>
      <c r="T40" s="13" t="str">
        <f aca="false">TEXT(D40,"mmm yyyy")</f>
        <v>Oct 2025</v>
      </c>
      <c r="U40" s="13" t="str">
        <f aca="false">TEXT(D40,"ddd")</f>
        <v>Tue</v>
      </c>
      <c r="V40" s="13" t="n">
        <f aca="false">INT(D40)-INT(C40)</f>
        <v>2</v>
      </c>
      <c r="W40" s="13" t="str">
        <f aca="false">IF(M40="","No","Yes")</f>
        <v>Yes</v>
      </c>
      <c r="X40" s="13" t="n">
        <f aca="false">IF(AND(W40="Yes",S40&lt;&gt;""),ROUND((S40-C40)*24,1),"")</f>
        <v>6</v>
      </c>
      <c r="Y40" s="13" t="str">
        <f aca="false">IF(X40="","N/A",IF(X40&lt;=12,"Yes","No"))</f>
        <v>Yes</v>
      </c>
      <c r="Z40" s="13" t="str">
        <f aca="true">IF(B40="Pending",TODAY()-INT(C40),"")</f>
        <v/>
      </c>
    </row>
    <row r="41" customFormat="false" ht="15" hidden="false" customHeight="false" outlineLevel="0" collapsed="false">
      <c r="A41" s="13" t="s">
        <v>114</v>
      </c>
      <c r="B41" s="13" t="s">
        <v>83</v>
      </c>
      <c r="C41" s="14" t="n">
        <v>45956.7111111111</v>
      </c>
      <c r="D41" s="14" t="n">
        <v>45958.3958333333</v>
      </c>
      <c r="E41" s="15"/>
      <c r="F41" s="13" t="s">
        <v>88</v>
      </c>
      <c r="G41" s="13" t="s">
        <v>66</v>
      </c>
      <c r="H41" s="13" t="s">
        <v>53</v>
      </c>
      <c r="I41" s="13" t="s">
        <v>42</v>
      </c>
      <c r="J41" s="13" t="s">
        <v>71</v>
      </c>
      <c r="K41" s="13" t="s">
        <v>45</v>
      </c>
      <c r="L41" s="13" t="s">
        <v>60</v>
      </c>
      <c r="M41" s="13"/>
      <c r="N41" s="13"/>
      <c r="O41" s="13"/>
      <c r="P41" s="16"/>
      <c r="Q41" s="17"/>
      <c r="R41" s="13"/>
      <c r="S41" s="14"/>
      <c r="T41" s="13" t="str">
        <f aca="false">TEXT(D41,"mmm yyyy")</f>
        <v>Oct 2025</v>
      </c>
      <c r="U41" s="13" t="str">
        <f aca="false">TEXT(D41,"ddd")</f>
        <v>Tue</v>
      </c>
      <c r="V41" s="13" t="n">
        <f aca="false">INT(D41)-INT(C41)</f>
        <v>2</v>
      </c>
      <c r="W41" s="13" t="str">
        <f aca="false">IF(M41="","No","Yes")</f>
        <v>No</v>
      </c>
      <c r="X41" s="13" t="str">
        <f aca="false">IF(AND(W41="Yes",S41&lt;&gt;""),ROUND((S41-C41)*24,1),"")</f>
        <v/>
      </c>
      <c r="Y41" s="13" t="str">
        <f aca="false">IF(X41="","N/A",IF(X41&lt;=12,"Yes","No"))</f>
        <v>N/A</v>
      </c>
      <c r="Z41" s="18" t="n">
        <f aca="true">IF(B41="Pending",TODAY()-INT(C41),"")</f>
        <v>318</v>
      </c>
    </row>
    <row r="42" customFormat="false" ht="15" hidden="false" customHeight="false" outlineLevel="0" collapsed="false">
      <c r="A42" s="13" t="s">
        <v>115</v>
      </c>
      <c r="B42" s="13" t="s">
        <v>69</v>
      </c>
      <c r="C42" s="14" t="n">
        <v>45955.5993055556</v>
      </c>
      <c r="D42" s="14" t="n">
        <v>45958.7291666667</v>
      </c>
      <c r="E42" s="15" t="n">
        <v>0.0416666666666667</v>
      </c>
      <c r="F42" s="13" t="s">
        <v>40</v>
      </c>
      <c r="G42" s="13" t="s">
        <v>66</v>
      </c>
      <c r="H42" s="13" t="s">
        <v>42</v>
      </c>
      <c r="I42" s="13" t="s">
        <v>43</v>
      </c>
      <c r="J42" s="13" t="s">
        <v>44</v>
      </c>
      <c r="K42" s="13" t="s">
        <v>45</v>
      </c>
      <c r="L42" s="13" t="s">
        <v>46</v>
      </c>
      <c r="M42" s="13"/>
      <c r="N42" s="13"/>
      <c r="O42" s="13"/>
      <c r="P42" s="16"/>
      <c r="Q42" s="17"/>
      <c r="R42" s="13" t="s">
        <v>50</v>
      </c>
      <c r="S42" s="14" t="n">
        <v>45955.6444444444</v>
      </c>
      <c r="T42" s="13" t="str">
        <f aca="false">TEXT(D42,"mmm yyyy")</f>
        <v>Oct 2025</v>
      </c>
      <c r="U42" s="13" t="str">
        <f aca="false">TEXT(D42,"ddd")</f>
        <v>Tue</v>
      </c>
      <c r="V42" s="13" t="n">
        <f aca="false">INT(D42)-INT(C42)</f>
        <v>3</v>
      </c>
      <c r="W42" s="13" t="str">
        <f aca="false">IF(M42="","No","Yes")</f>
        <v>No</v>
      </c>
      <c r="X42" s="13" t="str">
        <f aca="false">IF(AND(W42="Yes",S42&lt;&gt;""),ROUND((S42-C42)*24,1),"")</f>
        <v/>
      </c>
      <c r="Y42" s="13" t="str">
        <f aca="false">IF(X42="","N/A",IF(X42&lt;=12,"Yes","No"))</f>
        <v>N/A</v>
      </c>
      <c r="Z42" s="13" t="str">
        <f aca="true">IF(B42="Pending",TODAY()-INT(C42),"")</f>
        <v/>
      </c>
    </row>
    <row r="43" customFormat="false" ht="15" hidden="false" customHeight="false" outlineLevel="0" collapsed="false">
      <c r="A43" s="13" t="s">
        <v>116</v>
      </c>
      <c r="B43" s="13" t="s">
        <v>65</v>
      </c>
      <c r="C43" s="14" t="n">
        <v>45962.6013888889</v>
      </c>
      <c r="D43" s="14" t="n">
        <v>45966.2708333333</v>
      </c>
      <c r="E43" s="15"/>
      <c r="F43" s="13" t="s">
        <v>40</v>
      </c>
      <c r="G43" s="13" t="s">
        <v>41</v>
      </c>
      <c r="H43" s="13" t="s">
        <v>53</v>
      </c>
      <c r="I43" s="13" t="s">
        <v>78</v>
      </c>
      <c r="J43" s="13" t="s">
        <v>59</v>
      </c>
      <c r="K43" s="13" t="s">
        <v>45</v>
      </c>
      <c r="L43" s="13" t="s">
        <v>60</v>
      </c>
      <c r="M43" s="13"/>
      <c r="N43" s="13"/>
      <c r="O43" s="13"/>
      <c r="P43" s="16"/>
      <c r="Q43" s="17"/>
      <c r="R43" s="13" t="s">
        <v>50</v>
      </c>
      <c r="S43" s="14" t="n">
        <v>45962.7631944444</v>
      </c>
      <c r="T43" s="13" t="str">
        <f aca="false">TEXT(D43,"mmm yyyy")</f>
        <v>Nov 2025</v>
      </c>
      <c r="U43" s="13" t="str">
        <f aca="false">TEXT(D43,"ddd")</f>
        <v>Wed</v>
      </c>
      <c r="V43" s="13" t="n">
        <f aca="false">INT(D43)-INT(C43)</f>
        <v>4</v>
      </c>
      <c r="W43" s="13" t="str">
        <f aca="false">IF(M43="","No","Yes")</f>
        <v>No</v>
      </c>
      <c r="X43" s="13" t="str">
        <f aca="false">IF(AND(W43="Yes",S43&lt;&gt;""),ROUND((S43-C43)*24,1),"")</f>
        <v/>
      </c>
      <c r="Y43" s="13" t="str">
        <f aca="false">IF(X43="","N/A",IF(X43&lt;=12,"Yes","No"))</f>
        <v>N/A</v>
      </c>
      <c r="Z43" s="13" t="str">
        <f aca="true">IF(B43="Pending",TODAY()-INT(C43),"")</f>
        <v/>
      </c>
    </row>
    <row r="44" customFormat="false" ht="15" hidden="false" customHeight="false" outlineLevel="0" collapsed="false">
      <c r="A44" s="13" t="s">
        <v>117</v>
      </c>
      <c r="B44" s="13" t="s">
        <v>39</v>
      </c>
      <c r="C44" s="14" t="n">
        <v>45966.6347222222</v>
      </c>
      <c r="D44" s="14" t="n">
        <v>45970.2916666667</v>
      </c>
      <c r="E44" s="15"/>
      <c r="F44" s="13" t="s">
        <v>73</v>
      </c>
      <c r="G44" s="13" t="s">
        <v>66</v>
      </c>
      <c r="H44" s="13" t="s">
        <v>53</v>
      </c>
      <c r="I44" s="13" t="s">
        <v>78</v>
      </c>
      <c r="J44" s="13" t="s">
        <v>71</v>
      </c>
      <c r="K44" s="13" t="s">
        <v>45</v>
      </c>
      <c r="L44" s="13" t="s">
        <v>60</v>
      </c>
      <c r="M44" s="13" t="s">
        <v>47</v>
      </c>
      <c r="N44" s="13" t="s">
        <v>62</v>
      </c>
      <c r="O44" s="13" t="s">
        <v>63</v>
      </c>
      <c r="P44" s="16"/>
      <c r="Q44" s="17"/>
      <c r="R44" s="13" t="s">
        <v>50</v>
      </c>
      <c r="S44" s="14" t="n">
        <v>45966.9229166667</v>
      </c>
      <c r="T44" s="13" t="str">
        <f aca="false">TEXT(D44,"mmm yyyy")</f>
        <v>Nov 2025</v>
      </c>
      <c r="U44" s="13" t="str">
        <f aca="false">TEXT(D44,"ddd")</f>
        <v>Sun</v>
      </c>
      <c r="V44" s="13" t="n">
        <f aca="false">INT(D44)-INT(C44)</f>
        <v>4</v>
      </c>
      <c r="W44" s="13" t="str">
        <f aca="false">IF(M44="","No","Yes")</f>
        <v>Yes</v>
      </c>
      <c r="X44" s="13" t="n">
        <f aca="false">IF(AND(W44="Yes",S44&lt;&gt;""),ROUND((S44-C44)*24,1),"")</f>
        <v>6.9</v>
      </c>
      <c r="Y44" s="13" t="str">
        <f aca="false">IF(X44="","N/A",IF(X44&lt;=12,"Yes","No"))</f>
        <v>Yes</v>
      </c>
      <c r="Z44" s="13" t="str">
        <f aca="true">IF(B44="Pending",TODAY()-INT(C44),"")</f>
        <v/>
      </c>
    </row>
    <row r="45" customFormat="false" ht="15" hidden="false" customHeight="false" outlineLevel="0" collapsed="false">
      <c r="A45" s="13" t="s">
        <v>118</v>
      </c>
      <c r="B45" s="13" t="s">
        <v>65</v>
      </c>
      <c r="C45" s="14" t="n">
        <v>45968.5444444444</v>
      </c>
      <c r="D45" s="14" t="n">
        <v>45972.3958333333</v>
      </c>
      <c r="E45" s="15" t="n">
        <v>0.708333333333333</v>
      </c>
      <c r="F45" s="13" t="s">
        <v>52</v>
      </c>
      <c r="G45" s="13" t="s">
        <v>66</v>
      </c>
      <c r="H45" s="13" t="s">
        <v>42</v>
      </c>
      <c r="I45" s="13" t="s">
        <v>43</v>
      </c>
      <c r="J45" s="13" t="s">
        <v>44</v>
      </c>
      <c r="K45" s="13" t="s">
        <v>45</v>
      </c>
      <c r="L45" s="13" t="s">
        <v>46</v>
      </c>
      <c r="M45" s="13"/>
      <c r="N45" s="13"/>
      <c r="O45" s="13"/>
      <c r="P45" s="16"/>
      <c r="Q45" s="17"/>
      <c r="R45" s="13" t="s">
        <v>50</v>
      </c>
      <c r="S45" s="14" t="n">
        <v>45968.9076388889</v>
      </c>
      <c r="T45" s="13" t="str">
        <f aca="false">TEXT(D45,"mmm yyyy")</f>
        <v>Nov 2025</v>
      </c>
      <c r="U45" s="13" t="str">
        <f aca="false">TEXT(D45,"ddd")</f>
        <v>Tue</v>
      </c>
      <c r="V45" s="13" t="n">
        <f aca="false">INT(D45)-INT(C45)</f>
        <v>4</v>
      </c>
      <c r="W45" s="13" t="str">
        <f aca="false">IF(M45="","No","Yes")</f>
        <v>No</v>
      </c>
      <c r="X45" s="13" t="str">
        <f aca="false">IF(AND(W45="Yes",S45&lt;&gt;""),ROUND((S45-C45)*24,1),"")</f>
        <v/>
      </c>
      <c r="Y45" s="13" t="str">
        <f aca="false">IF(X45="","N/A",IF(X45&lt;=12,"Yes","No"))</f>
        <v>N/A</v>
      </c>
      <c r="Z45" s="13" t="str">
        <f aca="true">IF(B45="Pending",TODAY()-INT(C45),"")</f>
        <v/>
      </c>
    </row>
    <row r="46" customFormat="false" ht="15" hidden="false" customHeight="false" outlineLevel="0" collapsed="false">
      <c r="A46" s="13" t="s">
        <v>119</v>
      </c>
      <c r="B46" s="13" t="s">
        <v>65</v>
      </c>
      <c r="C46" s="14" t="n">
        <v>45969.6215277778</v>
      </c>
      <c r="D46" s="14" t="n">
        <v>45973.2708333333</v>
      </c>
      <c r="E46" s="15"/>
      <c r="F46" s="13" t="s">
        <v>73</v>
      </c>
      <c r="G46" s="13" t="s">
        <v>41</v>
      </c>
      <c r="H46" s="13" t="s">
        <v>53</v>
      </c>
      <c r="I46" s="13" t="s">
        <v>42</v>
      </c>
      <c r="J46" s="13" t="s">
        <v>71</v>
      </c>
      <c r="K46" s="13" t="s">
        <v>45</v>
      </c>
      <c r="L46" s="13" t="s">
        <v>60</v>
      </c>
      <c r="M46" s="13"/>
      <c r="N46" s="13"/>
      <c r="O46" s="13"/>
      <c r="P46" s="16"/>
      <c r="Q46" s="17"/>
      <c r="R46" s="13" t="s">
        <v>50</v>
      </c>
      <c r="S46" s="14" t="n">
        <v>45969.8145833333</v>
      </c>
      <c r="T46" s="13" t="str">
        <f aca="false">TEXT(D46,"mmm yyyy")</f>
        <v>Nov 2025</v>
      </c>
      <c r="U46" s="13" t="str">
        <f aca="false">TEXT(D46,"ddd")</f>
        <v>Wed</v>
      </c>
      <c r="V46" s="13" t="n">
        <f aca="false">INT(D46)-INT(C46)</f>
        <v>4</v>
      </c>
      <c r="W46" s="13" t="str">
        <f aca="false">IF(M46="","No","Yes")</f>
        <v>No</v>
      </c>
      <c r="X46" s="13" t="str">
        <f aca="false">IF(AND(W46="Yes",S46&lt;&gt;""),ROUND((S46-C46)*24,1),"")</f>
        <v/>
      </c>
      <c r="Y46" s="13" t="str">
        <f aca="false">IF(X46="","N/A",IF(X46&lt;=12,"Yes","No"))</f>
        <v>N/A</v>
      </c>
      <c r="Z46" s="13" t="str">
        <f aca="true">IF(B46="Pending",TODAY()-INT(C46),"")</f>
        <v/>
      </c>
    </row>
    <row r="47" customFormat="false" ht="15" hidden="false" customHeight="false" outlineLevel="0" collapsed="false">
      <c r="A47" s="13" t="s">
        <v>120</v>
      </c>
      <c r="B47" s="13" t="s">
        <v>39</v>
      </c>
      <c r="C47" s="14" t="n">
        <v>45969.4715277778</v>
      </c>
      <c r="D47" s="14" t="n">
        <v>45973.2708333333</v>
      </c>
      <c r="E47" s="15" t="n">
        <v>0.708333333333333</v>
      </c>
      <c r="F47" s="13" t="s">
        <v>40</v>
      </c>
      <c r="G47" s="13" t="s">
        <v>66</v>
      </c>
      <c r="H47" s="13" t="s">
        <v>53</v>
      </c>
      <c r="I47" s="13" t="s">
        <v>43</v>
      </c>
      <c r="J47" s="13" t="s">
        <v>44</v>
      </c>
      <c r="K47" s="13" t="s">
        <v>45</v>
      </c>
      <c r="L47" s="13" t="s">
        <v>46</v>
      </c>
      <c r="M47" s="13" t="s">
        <v>90</v>
      </c>
      <c r="N47" s="13" t="s">
        <v>62</v>
      </c>
      <c r="O47" s="13" t="s">
        <v>63</v>
      </c>
      <c r="P47" s="16"/>
      <c r="Q47" s="17"/>
      <c r="R47" s="13" t="s">
        <v>50</v>
      </c>
      <c r="S47" s="14" t="n">
        <v>45969.5597222222</v>
      </c>
      <c r="T47" s="13" t="str">
        <f aca="false">TEXT(D47,"mmm yyyy")</f>
        <v>Nov 2025</v>
      </c>
      <c r="U47" s="13" t="str">
        <f aca="false">TEXT(D47,"ddd")</f>
        <v>Wed</v>
      </c>
      <c r="V47" s="13" t="n">
        <f aca="false">INT(D47)-INT(C47)</f>
        <v>4</v>
      </c>
      <c r="W47" s="13" t="str">
        <f aca="false">IF(M47="","No","Yes")</f>
        <v>Yes</v>
      </c>
      <c r="X47" s="13" t="n">
        <f aca="false">IF(AND(W47="Yes",S47&lt;&gt;""),ROUND((S47-C47)*24,1),"")</f>
        <v>2.1</v>
      </c>
      <c r="Y47" s="13" t="str">
        <f aca="false">IF(X47="","N/A",IF(X47&lt;=12,"Yes","No"))</f>
        <v>Yes</v>
      </c>
      <c r="Z47" s="13" t="str">
        <f aca="true">IF(B47="Pending",TODAY()-INT(C47),"")</f>
        <v/>
      </c>
    </row>
    <row r="48" customFormat="false" ht="15" hidden="false" customHeight="false" outlineLevel="0" collapsed="false">
      <c r="A48" s="13" t="s">
        <v>121</v>
      </c>
      <c r="B48" s="13" t="s">
        <v>65</v>
      </c>
      <c r="C48" s="14" t="n">
        <v>45970.7465277778</v>
      </c>
      <c r="D48" s="14" t="n">
        <v>45974.2916666667</v>
      </c>
      <c r="E48" s="15"/>
      <c r="F48" s="13" t="s">
        <v>73</v>
      </c>
      <c r="G48" s="13" t="s">
        <v>66</v>
      </c>
      <c r="H48" s="13" t="s">
        <v>42</v>
      </c>
      <c r="I48" s="13" t="s">
        <v>53</v>
      </c>
      <c r="J48" s="13" t="s">
        <v>71</v>
      </c>
      <c r="K48" s="13" t="s">
        <v>45</v>
      </c>
      <c r="L48" s="13" t="s">
        <v>60</v>
      </c>
      <c r="M48" s="13"/>
      <c r="N48" s="13"/>
      <c r="O48" s="13"/>
      <c r="P48" s="16"/>
      <c r="Q48" s="17"/>
      <c r="R48" s="13" t="s">
        <v>50</v>
      </c>
      <c r="S48" s="14" t="n">
        <v>45970.8104166667</v>
      </c>
      <c r="T48" s="13" t="str">
        <f aca="false">TEXT(D48,"mmm yyyy")</f>
        <v>Nov 2025</v>
      </c>
      <c r="U48" s="13" t="str">
        <f aca="false">TEXT(D48,"ddd")</f>
        <v>Thu</v>
      </c>
      <c r="V48" s="13" t="n">
        <f aca="false">INT(D48)-INT(C48)</f>
        <v>4</v>
      </c>
      <c r="W48" s="13" t="str">
        <f aca="false">IF(M48="","No","Yes")</f>
        <v>No</v>
      </c>
      <c r="X48" s="13" t="str">
        <f aca="false">IF(AND(W48="Yes",S48&lt;&gt;""),ROUND((S48-C48)*24,1),"")</f>
        <v/>
      </c>
      <c r="Y48" s="13" t="str">
        <f aca="false">IF(X48="","N/A",IF(X48&lt;=12,"Yes","No"))</f>
        <v>N/A</v>
      </c>
      <c r="Z48" s="13" t="str">
        <f aca="true">IF(B48="Pending",TODAY()-INT(C48),"")</f>
        <v/>
      </c>
    </row>
    <row r="49" customFormat="false" ht="15" hidden="false" customHeight="false" outlineLevel="0" collapsed="false">
      <c r="A49" s="13" t="s">
        <v>122</v>
      </c>
      <c r="B49" s="13" t="s">
        <v>39</v>
      </c>
      <c r="C49" s="14" t="n">
        <v>45973.6756944444</v>
      </c>
      <c r="D49" s="14" t="n">
        <v>45977.5416666667</v>
      </c>
      <c r="E49" s="15"/>
      <c r="F49" s="13" t="s">
        <v>52</v>
      </c>
      <c r="G49" s="13" t="s">
        <v>41</v>
      </c>
      <c r="H49" s="13" t="s">
        <v>42</v>
      </c>
      <c r="I49" s="13" t="s">
        <v>53</v>
      </c>
      <c r="J49" s="13" t="s">
        <v>44</v>
      </c>
      <c r="K49" s="13" t="s">
        <v>45</v>
      </c>
      <c r="L49" s="13" t="s">
        <v>60</v>
      </c>
      <c r="M49" s="13" t="s">
        <v>61</v>
      </c>
      <c r="N49" s="13" t="s">
        <v>48</v>
      </c>
      <c r="O49" s="13" t="s">
        <v>49</v>
      </c>
      <c r="P49" s="16"/>
      <c r="Q49" s="17"/>
      <c r="R49" s="13" t="s">
        <v>50</v>
      </c>
      <c r="S49" s="14" t="n">
        <v>45973.7416666667</v>
      </c>
      <c r="T49" s="13" t="str">
        <f aca="false">TEXT(D49,"mmm yyyy")</f>
        <v>Nov 2025</v>
      </c>
      <c r="U49" s="13" t="str">
        <f aca="false">TEXT(D49,"ddd")</f>
        <v>Sun</v>
      </c>
      <c r="V49" s="13" t="n">
        <f aca="false">INT(D49)-INT(C49)</f>
        <v>4</v>
      </c>
      <c r="W49" s="13" t="str">
        <f aca="false">IF(M49="","No","Yes")</f>
        <v>Yes</v>
      </c>
      <c r="X49" s="13" t="n">
        <f aca="false">IF(AND(W49="Yes",S49&lt;&gt;""),ROUND((S49-C49)*24,1),"")</f>
        <v>1.6</v>
      </c>
      <c r="Y49" s="13" t="str">
        <f aca="false">IF(X49="","N/A",IF(X49&lt;=12,"Yes","No"))</f>
        <v>Yes</v>
      </c>
      <c r="Z49" s="13" t="str">
        <f aca="true">IF(B49="Pending",TODAY()-INT(C49),"")</f>
        <v/>
      </c>
    </row>
    <row r="50" customFormat="false" ht="15" hidden="false" customHeight="false" outlineLevel="0" collapsed="false">
      <c r="A50" s="13" t="s">
        <v>123</v>
      </c>
      <c r="B50" s="13" t="s">
        <v>39</v>
      </c>
      <c r="C50" s="14" t="n">
        <v>45974.4270833333</v>
      </c>
      <c r="D50" s="14" t="n">
        <v>45978.2916666667</v>
      </c>
      <c r="E50" s="15"/>
      <c r="F50" s="13" t="s">
        <v>96</v>
      </c>
      <c r="G50" s="13" t="s">
        <v>41</v>
      </c>
      <c r="H50" s="13" t="s">
        <v>53</v>
      </c>
      <c r="I50" s="13" t="s">
        <v>42</v>
      </c>
      <c r="J50" s="13" t="s">
        <v>44</v>
      </c>
      <c r="K50" s="13" t="s">
        <v>45</v>
      </c>
      <c r="L50" s="13" t="s">
        <v>60</v>
      </c>
      <c r="M50" s="13" t="s">
        <v>61</v>
      </c>
      <c r="N50" s="13" t="s">
        <v>48</v>
      </c>
      <c r="O50" s="13" t="s">
        <v>49</v>
      </c>
      <c r="P50" s="16"/>
      <c r="Q50" s="17"/>
      <c r="R50" s="13" t="s">
        <v>50</v>
      </c>
      <c r="S50" s="14" t="n">
        <v>45975.0041666667</v>
      </c>
      <c r="T50" s="13" t="str">
        <f aca="false">TEXT(D50,"mmm yyyy")</f>
        <v>Nov 2025</v>
      </c>
      <c r="U50" s="13" t="str">
        <f aca="false">TEXT(D50,"ddd")</f>
        <v>Mon</v>
      </c>
      <c r="V50" s="13" t="n">
        <f aca="false">INT(D50)-INT(C50)</f>
        <v>4</v>
      </c>
      <c r="W50" s="13" t="str">
        <f aca="false">IF(M50="","No","Yes")</f>
        <v>Yes</v>
      </c>
      <c r="X50" s="13" t="n">
        <f aca="false">IF(AND(W50="Yes",S50&lt;&gt;""),ROUND((S50-C50)*24,1),"")</f>
        <v>13.9</v>
      </c>
      <c r="Y50" s="13" t="str">
        <f aca="false">IF(X50="","N/A",IF(X50&lt;=12,"Yes","No"))</f>
        <v>No</v>
      </c>
      <c r="Z50" s="13" t="str">
        <f aca="true">IF(B50="Pending",TODAY()-INT(C50),"")</f>
        <v/>
      </c>
    </row>
    <row r="51" customFormat="false" ht="15" hidden="false" customHeight="false" outlineLevel="0" collapsed="false">
      <c r="A51" s="13" t="s">
        <v>124</v>
      </c>
      <c r="B51" s="13" t="s">
        <v>39</v>
      </c>
      <c r="C51" s="14" t="n">
        <v>45975.5493055556</v>
      </c>
      <c r="D51" s="14" t="n">
        <v>45979.2708333333</v>
      </c>
      <c r="E51" s="15"/>
      <c r="F51" s="13" t="s">
        <v>73</v>
      </c>
      <c r="G51" s="13" t="s">
        <v>41</v>
      </c>
      <c r="H51" s="13" t="s">
        <v>42</v>
      </c>
      <c r="I51" s="13" t="s">
        <v>53</v>
      </c>
      <c r="J51" s="13" t="s">
        <v>71</v>
      </c>
      <c r="K51" s="13" t="s">
        <v>45</v>
      </c>
      <c r="L51" s="13" t="s">
        <v>60</v>
      </c>
      <c r="M51" s="13" t="s">
        <v>61</v>
      </c>
      <c r="N51" s="13" t="s">
        <v>48</v>
      </c>
      <c r="O51" s="13" t="s">
        <v>49</v>
      </c>
      <c r="P51" s="16"/>
      <c r="Q51" s="17"/>
      <c r="R51" s="13" t="s">
        <v>50</v>
      </c>
      <c r="S51" s="14" t="n">
        <v>45975.9111111111</v>
      </c>
      <c r="T51" s="13" t="str">
        <f aca="false">TEXT(D51,"mmm yyyy")</f>
        <v>Nov 2025</v>
      </c>
      <c r="U51" s="13" t="str">
        <f aca="false">TEXT(D51,"ddd")</f>
        <v>Tue</v>
      </c>
      <c r="V51" s="13" t="n">
        <f aca="false">INT(D51)-INT(C51)</f>
        <v>4</v>
      </c>
      <c r="W51" s="13" t="str">
        <f aca="false">IF(M51="","No","Yes")</f>
        <v>Yes</v>
      </c>
      <c r="X51" s="13" t="n">
        <f aca="false">IF(AND(W51="Yes",S51&lt;&gt;""),ROUND((S51-C51)*24,1),"")</f>
        <v>8.7</v>
      </c>
      <c r="Y51" s="13" t="str">
        <f aca="false">IF(X51="","N/A",IF(X51&lt;=12,"Yes","No"))</f>
        <v>Yes</v>
      </c>
      <c r="Z51" s="13" t="str">
        <f aca="true">IF(B51="Pending",TODAY()-INT(C51),"")</f>
        <v/>
      </c>
    </row>
    <row r="52" customFormat="false" ht="15" hidden="false" customHeight="false" outlineLevel="0" collapsed="false">
      <c r="A52" s="13" t="s">
        <v>125</v>
      </c>
      <c r="B52" s="13" t="s">
        <v>39</v>
      </c>
      <c r="C52" s="14" t="n">
        <v>45975.4423611111</v>
      </c>
      <c r="D52" s="14" t="n">
        <v>45979.2916666667</v>
      </c>
      <c r="E52" s="15"/>
      <c r="F52" s="13" t="s">
        <v>88</v>
      </c>
      <c r="G52" s="13" t="s">
        <v>66</v>
      </c>
      <c r="H52" s="13" t="s">
        <v>42</v>
      </c>
      <c r="I52" s="13" t="s">
        <v>53</v>
      </c>
      <c r="J52" s="13" t="s">
        <v>71</v>
      </c>
      <c r="K52" s="13" t="s">
        <v>45</v>
      </c>
      <c r="L52" s="13" t="s">
        <v>60</v>
      </c>
      <c r="M52" s="13" t="s">
        <v>47</v>
      </c>
      <c r="N52" s="13" t="s">
        <v>55</v>
      </c>
      <c r="O52" s="13" t="s">
        <v>56</v>
      </c>
      <c r="P52" s="16"/>
      <c r="Q52" s="17"/>
      <c r="R52" s="13" t="s">
        <v>50</v>
      </c>
      <c r="S52" s="14" t="n">
        <v>45975.9173611111</v>
      </c>
      <c r="T52" s="13" t="str">
        <f aca="false">TEXT(D52,"mmm yyyy")</f>
        <v>Nov 2025</v>
      </c>
      <c r="U52" s="13" t="str">
        <f aca="false">TEXT(D52,"ddd")</f>
        <v>Tue</v>
      </c>
      <c r="V52" s="13" t="n">
        <f aca="false">INT(D52)-INT(C52)</f>
        <v>4</v>
      </c>
      <c r="W52" s="13" t="str">
        <f aca="false">IF(M52="","No","Yes")</f>
        <v>Yes</v>
      </c>
      <c r="X52" s="13" t="n">
        <f aca="false">IF(AND(W52="Yes",S52&lt;&gt;""),ROUND((S52-C52)*24,1),"")</f>
        <v>11.4</v>
      </c>
      <c r="Y52" s="13" t="str">
        <f aca="false">IF(X52="","N/A",IF(X52&lt;=12,"Yes","No"))</f>
        <v>Yes</v>
      </c>
      <c r="Z52" s="13" t="str">
        <f aca="true">IF(B52="Pending",TODAY()-INT(C52),"")</f>
        <v/>
      </c>
    </row>
    <row r="53" customFormat="false" ht="15" hidden="false" customHeight="false" outlineLevel="0" collapsed="false">
      <c r="A53" s="13" t="s">
        <v>126</v>
      </c>
      <c r="B53" s="13" t="s">
        <v>39</v>
      </c>
      <c r="C53" s="14" t="n">
        <v>45976.5131944444</v>
      </c>
      <c r="D53" s="14" t="n">
        <v>45980.3333333333</v>
      </c>
      <c r="E53" s="15"/>
      <c r="F53" s="13" t="s">
        <v>40</v>
      </c>
      <c r="G53" s="13" t="s">
        <v>66</v>
      </c>
      <c r="H53" s="13" t="s">
        <v>53</v>
      </c>
      <c r="I53" s="13" t="s">
        <v>78</v>
      </c>
      <c r="J53" s="13" t="s">
        <v>71</v>
      </c>
      <c r="K53" s="13" t="s">
        <v>45</v>
      </c>
      <c r="L53" s="13" t="s">
        <v>60</v>
      </c>
      <c r="M53" s="13" t="s">
        <v>54</v>
      </c>
      <c r="N53" s="13" t="s">
        <v>62</v>
      </c>
      <c r="O53" s="13" t="s">
        <v>63</v>
      </c>
      <c r="P53" s="16"/>
      <c r="Q53" s="17"/>
      <c r="R53" s="13" t="s">
        <v>50</v>
      </c>
      <c r="S53" s="14" t="n">
        <v>45977.2527777778</v>
      </c>
      <c r="T53" s="13" t="str">
        <f aca="false">TEXT(D53,"mmm yyyy")</f>
        <v>Nov 2025</v>
      </c>
      <c r="U53" s="13" t="str">
        <f aca="false">TEXT(D53,"ddd")</f>
        <v>Wed</v>
      </c>
      <c r="V53" s="13" t="n">
        <f aca="false">INT(D53)-INT(C53)</f>
        <v>4</v>
      </c>
      <c r="W53" s="13" t="str">
        <f aca="false">IF(M53="","No","Yes")</f>
        <v>Yes</v>
      </c>
      <c r="X53" s="13" t="n">
        <f aca="false">IF(AND(W53="Yes",S53&lt;&gt;""),ROUND((S53-C53)*24,1),"")</f>
        <v>17.8</v>
      </c>
      <c r="Y53" s="13" t="str">
        <f aca="false">IF(X53="","N/A",IF(X53&lt;=12,"Yes","No"))</f>
        <v>No</v>
      </c>
      <c r="Z53" s="13" t="str">
        <f aca="true">IF(B53="Pending",TODAY()-INT(C53),"")</f>
        <v/>
      </c>
    </row>
    <row r="54" customFormat="false" ht="15" hidden="false" customHeight="false" outlineLevel="0" collapsed="false">
      <c r="A54" s="13" t="s">
        <v>127</v>
      </c>
      <c r="B54" s="13" t="s">
        <v>65</v>
      </c>
      <c r="C54" s="14" t="n">
        <v>45977.6986111111</v>
      </c>
      <c r="D54" s="14" t="n">
        <v>45981.3958333333</v>
      </c>
      <c r="E54" s="15"/>
      <c r="F54" s="13" t="s">
        <v>73</v>
      </c>
      <c r="G54" s="13" t="s">
        <v>41</v>
      </c>
      <c r="H54" s="13" t="s">
        <v>42</v>
      </c>
      <c r="I54" s="13" t="s">
        <v>67</v>
      </c>
      <c r="J54" s="13" t="s">
        <v>71</v>
      </c>
      <c r="K54" s="13" t="s">
        <v>45</v>
      </c>
      <c r="L54" s="13" t="s">
        <v>60</v>
      </c>
      <c r="M54" s="13"/>
      <c r="N54" s="13"/>
      <c r="O54" s="13"/>
      <c r="P54" s="16"/>
      <c r="Q54" s="17"/>
      <c r="R54" s="13" t="s">
        <v>50</v>
      </c>
      <c r="S54" s="14" t="n">
        <v>45978.0416666667</v>
      </c>
      <c r="T54" s="13" t="str">
        <f aca="false">TEXT(D54,"mmm yyyy")</f>
        <v>Nov 2025</v>
      </c>
      <c r="U54" s="13" t="str">
        <f aca="false">TEXT(D54,"ddd")</f>
        <v>Thu</v>
      </c>
      <c r="V54" s="13" t="n">
        <f aca="false">INT(D54)-INT(C54)</f>
        <v>4</v>
      </c>
      <c r="W54" s="13" t="str">
        <f aca="false">IF(M54="","No","Yes")</f>
        <v>No</v>
      </c>
      <c r="X54" s="13" t="str">
        <f aca="false">IF(AND(W54="Yes",S54&lt;&gt;""),ROUND((S54-C54)*24,1),"")</f>
        <v/>
      </c>
      <c r="Y54" s="13" t="str">
        <f aca="false">IF(X54="","N/A",IF(X54&lt;=12,"Yes","No"))</f>
        <v>N/A</v>
      </c>
      <c r="Z54" s="13" t="str">
        <f aca="true">IF(B54="Pending",TODAY()-INT(C54),"")</f>
        <v/>
      </c>
    </row>
    <row r="55" customFormat="false" ht="15" hidden="false" customHeight="false" outlineLevel="0" collapsed="false">
      <c r="A55" s="13" t="s">
        <v>128</v>
      </c>
      <c r="B55" s="13" t="s">
        <v>39</v>
      </c>
      <c r="C55" s="14" t="n">
        <v>45979.5048611111</v>
      </c>
      <c r="D55" s="14" t="n">
        <v>45983.3333333333</v>
      </c>
      <c r="E55" s="15"/>
      <c r="F55" s="13" t="s">
        <v>73</v>
      </c>
      <c r="G55" s="13" t="s">
        <v>41</v>
      </c>
      <c r="H55" s="13" t="s">
        <v>42</v>
      </c>
      <c r="I55" s="13" t="s">
        <v>67</v>
      </c>
      <c r="J55" s="13" t="s">
        <v>59</v>
      </c>
      <c r="K55" s="13" t="s">
        <v>45</v>
      </c>
      <c r="L55" s="13" t="s">
        <v>60</v>
      </c>
      <c r="M55" s="13" t="s">
        <v>90</v>
      </c>
      <c r="N55" s="13" t="s">
        <v>62</v>
      </c>
      <c r="O55" s="13" t="s">
        <v>63</v>
      </c>
      <c r="P55" s="16"/>
      <c r="Q55" s="17"/>
      <c r="R55" s="13" t="s">
        <v>50</v>
      </c>
      <c r="S55" s="14" t="n">
        <v>45980.1430555556</v>
      </c>
      <c r="T55" s="13" t="str">
        <f aca="false">TEXT(D55,"mmm yyyy")</f>
        <v>Nov 2025</v>
      </c>
      <c r="U55" s="13" t="str">
        <f aca="false">TEXT(D55,"ddd")</f>
        <v>Sat</v>
      </c>
      <c r="V55" s="13" t="n">
        <f aca="false">INT(D55)-INT(C55)</f>
        <v>4</v>
      </c>
      <c r="W55" s="13" t="str">
        <f aca="false">IF(M55="","No","Yes")</f>
        <v>Yes</v>
      </c>
      <c r="X55" s="13" t="n">
        <f aca="false">IF(AND(W55="Yes",S55&lt;&gt;""),ROUND((S55-C55)*24,1),"")</f>
        <v>15.3</v>
      </c>
      <c r="Y55" s="13" t="str">
        <f aca="false">IF(X55="","N/A",IF(X55&lt;=12,"Yes","No"))</f>
        <v>No</v>
      </c>
      <c r="Z55" s="13" t="str">
        <f aca="true">IF(B55="Pending",TODAY()-INT(C55),"")</f>
        <v/>
      </c>
    </row>
    <row r="56" customFormat="false" ht="15" hidden="false" customHeight="false" outlineLevel="0" collapsed="false">
      <c r="A56" s="13" t="s">
        <v>129</v>
      </c>
      <c r="B56" s="13" t="s">
        <v>69</v>
      </c>
      <c r="C56" s="14" t="n">
        <v>45979.6819444444</v>
      </c>
      <c r="D56" s="14" t="n">
        <v>45983.3333333333</v>
      </c>
      <c r="E56" s="15"/>
      <c r="F56" s="13" t="s">
        <v>73</v>
      </c>
      <c r="G56" s="13" t="s">
        <v>41</v>
      </c>
      <c r="H56" s="13" t="s">
        <v>53</v>
      </c>
      <c r="I56" s="13" t="s">
        <v>78</v>
      </c>
      <c r="J56" s="13" t="s">
        <v>71</v>
      </c>
      <c r="K56" s="13" t="s">
        <v>45</v>
      </c>
      <c r="L56" s="13" t="s">
        <v>60</v>
      </c>
      <c r="M56" s="13"/>
      <c r="N56" s="13"/>
      <c r="O56" s="13"/>
      <c r="P56" s="16"/>
      <c r="Q56" s="17"/>
      <c r="R56" s="13" t="s">
        <v>50</v>
      </c>
      <c r="S56" s="14" t="n">
        <v>45979.9520833333</v>
      </c>
      <c r="T56" s="13" t="str">
        <f aca="false">TEXT(D56,"mmm yyyy")</f>
        <v>Nov 2025</v>
      </c>
      <c r="U56" s="13" t="str">
        <f aca="false">TEXT(D56,"ddd")</f>
        <v>Sat</v>
      </c>
      <c r="V56" s="13" t="n">
        <f aca="false">INT(D56)-INT(C56)</f>
        <v>4</v>
      </c>
      <c r="W56" s="13" t="str">
        <f aca="false">IF(M56="","No","Yes")</f>
        <v>No</v>
      </c>
      <c r="X56" s="13" t="str">
        <f aca="false">IF(AND(W56="Yes",S56&lt;&gt;""),ROUND((S56-C56)*24,1),"")</f>
        <v/>
      </c>
      <c r="Y56" s="13" t="str">
        <f aca="false">IF(X56="","N/A",IF(X56&lt;=12,"Yes","No"))</f>
        <v>N/A</v>
      </c>
      <c r="Z56" s="13" t="str">
        <f aca="true">IF(B56="Pending",TODAY()-INT(C56),"")</f>
        <v/>
      </c>
    </row>
    <row r="57" customFormat="false" ht="15" hidden="false" customHeight="false" outlineLevel="0" collapsed="false">
      <c r="A57" s="13" t="s">
        <v>130</v>
      </c>
      <c r="B57" s="13" t="s">
        <v>39</v>
      </c>
      <c r="C57" s="14" t="n">
        <v>45981.5493055556</v>
      </c>
      <c r="D57" s="14" t="n">
        <v>45985.3333333333</v>
      </c>
      <c r="E57" s="15"/>
      <c r="F57" s="13" t="s">
        <v>73</v>
      </c>
      <c r="G57" s="13" t="s">
        <v>66</v>
      </c>
      <c r="H57" s="13" t="s">
        <v>42</v>
      </c>
      <c r="I57" s="13" t="s">
        <v>53</v>
      </c>
      <c r="J57" s="13" t="s">
        <v>131</v>
      </c>
      <c r="K57" s="13" t="s">
        <v>45</v>
      </c>
      <c r="L57" s="13" t="s">
        <v>60</v>
      </c>
      <c r="M57" s="13" t="s">
        <v>90</v>
      </c>
      <c r="N57" s="13" t="s">
        <v>48</v>
      </c>
      <c r="O57" s="13" t="s">
        <v>49</v>
      </c>
      <c r="P57" s="16"/>
      <c r="Q57" s="17"/>
      <c r="R57" s="13" t="s">
        <v>50</v>
      </c>
      <c r="S57" s="14" t="n">
        <v>45981.8756944445</v>
      </c>
      <c r="T57" s="13" t="str">
        <f aca="false">TEXT(D57,"mmm yyyy")</f>
        <v>Nov 2025</v>
      </c>
      <c r="U57" s="13" t="str">
        <f aca="false">TEXT(D57,"ddd")</f>
        <v>Mon</v>
      </c>
      <c r="V57" s="13" t="n">
        <f aca="false">INT(D57)-INT(C57)</f>
        <v>4</v>
      </c>
      <c r="W57" s="13" t="str">
        <f aca="false">IF(M57="","No","Yes")</f>
        <v>Yes</v>
      </c>
      <c r="X57" s="13" t="n">
        <f aca="false">IF(AND(W57="Yes",S57&lt;&gt;""),ROUND((S57-C57)*24,1),"")</f>
        <v>7.8</v>
      </c>
      <c r="Y57" s="13" t="str">
        <f aca="false">IF(X57="","N/A",IF(X57&lt;=12,"Yes","No"))</f>
        <v>Yes</v>
      </c>
      <c r="Z57" s="13" t="str">
        <f aca="true">IF(B57="Pending",TODAY()-INT(C57),"")</f>
        <v/>
      </c>
    </row>
    <row r="58" customFormat="false" ht="15" hidden="false" customHeight="false" outlineLevel="0" collapsed="false">
      <c r="A58" s="13" t="s">
        <v>132</v>
      </c>
      <c r="B58" s="13" t="s">
        <v>69</v>
      </c>
      <c r="C58" s="14" t="n">
        <v>45982.3861111111</v>
      </c>
      <c r="D58" s="14" t="n">
        <v>45986.5416666667</v>
      </c>
      <c r="E58" s="15"/>
      <c r="F58" s="13" t="s">
        <v>52</v>
      </c>
      <c r="G58" s="13" t="s">
        <v>66</v>
      </c>
      <c r="H58" s="13" t="s">
        <v>53</v>
      </c>
      <c r="I58" s="13" t="s">
        <v>78</v>
      </c>
      <c r="J58" s="13" t="s">
        <v>71</v>
      </c>
      <c r="K58" s="13" t="s">
        <v>45</v>
      </c>
      <c r="L58" s="13" t="s">
        <v>60</v>
      </c>
      <c r="M58" s="13"/>
      <c r="N58" s="13"/>
      <c r="O58" s="13"/>
      <c r="P58" s="16"/>
      <c r="Q58" s="17"/>
      <c r="R58" s="13" t="s">
        <v>50</v>
      </c>
      <c r="S58" s="14" t="n">
        <v>45982.4819444444</v>
      </c>
      <c r="T58" s="13" t="str">
        <f aca="false">TEXT(D58,"mmm yyyy")</f>
        <v>Nov 2025</v>
      </c>
      <c r="U58" s="13" t="str">
        <f aca="false">TEXT(D58,"ddd")</f>
        <v>Tue</v>
      </c>
      <c r="V58" s="13" t="n">
        <f aca="false">INT(D58)-INT(C58)</f>
        <v>4</v>
      </c>
      <c r="W58" s="13" t="str">
        <f aca="false">IF(M58="","No","Yes")</f>
        <v>No</v>
      </c>
      <c r="X58" s="13" t="str">
        <f aca="false">IF(AND(W58="Yes",S58&lt;&gt;""),ROUND((S58-C58)*24,1),"")</f>
        <v/>
      </c>
      <c r="Y58" s="13" t="str">
        <f aca="false">IF(X58="","N/A",IF(X58&lt;=12,"Yes","No"))</f>
        <v>N/A</v>
      </c>
      <c r="Z58" s="13" t="str">
        <f aca="true">IF(B58="Pending",TODAY()-INT(C58),"")</f>
        <v/>
      </c>
    </row>
    <row r="59" customFormat="false" ht="15" hidden="false" customHeight="false" outlineLevel="0" collapsed="false">
      <c r="A59" s="13" t="s">
        <v>133</v>
      </c>
      <c r="B59" s="13" t="s">
        <v>69</v>
      </c>
      <c r="C59" s="14" t="n">
        <v>45993.7208333333</v>
      </c>
      <c r="D59" s="14" t="n">
        <v>45997.7291666667</v>
      </c>
      <c r="E59" s="15"/>
      <c r="F59" s="13" t="s">
        <v>58</v>
      </c>
      <c r="G59" s="13" t="s">
        <v>41</v>
      </c>
      <c r="H59" s="13" t="s">
        <v>53</v>
      </c>
      <c r="I59" s="13" t="s">
        <v>42</v>
      </c>
      <c r="J59" s="13" t="s">
        <v>44</v>
      </c>
      <c r="K59" s="13" t="s">
        <v>45</v>
      </c>
      <c r="L59" s="13" t="s">
        <v>60</v>
      </c>
      <c r="M59" s="13"/>
      <c r="N59" s="13"/>
      <c r="O59" s="13"/>
      <c r="P59" s="16"/>
      <c r="Q59" s="17"/>
      <c r="R59" s="13" t="s">
        <v>50</v>
      </c>
      <c r="S59" s="14" t="n">
        <v>45994.1354166667</v>
      </c>
      <c r="T59" s="13" t="str">
        <f aca="false">TEXT(D59,"mmm yyyy")</f>
        <v>Dec 2025</v>
      </c>
      <c r="U59" s="13" t="str">
        <f aca="false">TEXT(D59,"ddd")</f>
        <v>Sat</v>
      </c>
      <c r="V59" s="13" t="n">
        <f aca="false">INT(D59)-INT(C59)</f>
        <v>4</v>
      </c>
      <c r="W59" s="13" t="str">
        <f aca="false">IF(M59="","No","Yes")</f>
        <v>No</v>
      </c>
      <c r="X59" s="13" t="str">
        <f aca="false">IF(AND(W59="Yes",S59&lt;&gt;""),ROUND((S59-C59)*24,1),"")</f>
        <v/>
      </c>
      <c r="Y59" s="13" t="str">
        <f aca="false">IF(X59="","N/A",IF(X59&lt;=12,"Yes","No"))</f>
        <v>N/A</v>
      </c>
      <c r="Z59" s="13" t="str">
        <f aca="true">IF(B59="Pending",TODAY()-INT(C59),"")</f>
        <v/>
      </c>
    </row>
    <row r="60" customFormat="false" ht="15" hidden="false" customHeight="false" outlineLevel="0" collapsed="false">
      <c r="A60" s="13" t="s">
        <v>134</v>
      </c>
      <c r="B60" s="13" t="s">
        <v>39</v>
      </c>
      <c r="C60" s="14" t="n">
        <v>45997.6486111111</v>
      </c>
      <c r="D60" s="14" t="n">
        <v>46001.3333333333</v>
      </c>
      <c r="E60" s="15"/>
      <c r="F60" s="13" t="s">
        <v>58</v>
      </c>
      <c r="G60" s="13" t="s">
        <v>66</v>
      </c>
      <c r="H60" s="13" t="s">
        <v>42</v>
      </c>
      <c r="I60" s="13" t="s">
        <v>67</v>
      </c>
      <c r="J60" s="13" t="s">
        <v>131</v>
      </c>
      <c r="K60" s="13" t="s">
        <v>45</v>
      </c>
      <c r="L60" s="13" t="s">
        <v>60</v>
      </c>
      <c r="M60" s="13" t="s">
        <v>47</v>
      </c>
      <c r="N60" s="13" t="s">
        <v>79</v>
      </c>
      <c r="O60" s="13" t="s">
        <v>80</v>
      </c>
      <c r="P60" s="16"/>
      <c r="Q60" s="17"/>
      <c r="R60" s="13" t="s">
        <v>50</v>
      </c>
      <c r="S60" s="14" t="n">
        <v>45997.8159722222</v>
      </c>
      <c r="T60" s="13" t="str">
        <f aca="false">TEXT(D60,"mmm yyyy")</f>
        <v>Dec 2025</v>
      </c>
      <c r="U60" s="13" t="str">
        <f aca="false">TEXT(D60,"ddd")</f>
        <v>Wed</v>
      </c>
      <c r="V60" s="13" t="n">
        <f aca="false">INT(D60)-INT(C60)</f>
        <v>4</v>
      </c>
      <c r="W60" s="13" t="str">
        <f aca="false">IF(M60="","No","Yes")</f>
        <v>Yes</v>
      </c>
      <c r="X60" s="13" t="n">
        <f aca="false">IF(AND(W60="Yes",S60&lt;&gt;""),ROUND((S60-C60)*24,1),"")</f>
        <v>4</v>
      </c>
      <c r="Y60" s="13" t="str">
        <f aca="false">IF(X60="","N/A",IF(X60&lt;=12,"Yes","No"))</f>
        <v>Yes</v>
      </c>
      <c r="Z60" s="13" t="str">
        <f aca="true">IF(B60="Pending",TODAY()-INT(C60),"")</f>
        <v/>
      </c>
    </row>
    <row r="61" customFormat="false" ht="15" hidden="false" customHeight="false" outlineLevel="0" collapsed="false">
      <c r="A61" s="13" t="s">
        <v>135</v>
      </c>
      <c r="B61" s="13" t="s">
        <v>65</v>
      </c>
      <c r="C61" s="14" t="n">
        <v>45998.6805555556</v>
      </c>
      <c r="D61" s="14" t="n">
        <v>46002.3333333333</v>
      </c>
      <c r="E61" s="15" t="n">
        <v>0.708333333333333</v>
      </c>
      <c r="F61" s="13" t="s">
        <v>52</v>
      </c>
      <c r="G61" s="13" t="s">
        <v>41</v>
      </c>
      <c r="H61" s="13" t="s">
        <v>53</v>
      </c>
      <c r="I61" s="13" t="s">
        <v>43</v>
      </c>
      <c r="J61" s="13" t="s">
        <v>44</v>
      </c>
      <c r="K61" s="13" t="s">
        <v>45</v>
      </c>
      <c r="L61" s="13" t="s">
        <v>46</v>
      </c>
      <c r="M61" s="13"/>
      <c r="N61" s="13"/>
      <c r="O61" s="13"/>
      <c r="P61" s="16"/>
      <c r="Q61" s="17"/>
      <c r="R61" s="13" t="s">
        <v>50</v>
      </c>
      <c r="S61" s="14" t="n">
        <v>45999.1277777778</v>
      </c>
      <c r="T61" s="13" t="str">
        <f aca="false">TEXT(D61,"mmm yyyy")</f>
        <v>Dec 2025</v>
      </c>
      <c r="U61" s="13" t="str">
        <f aca="false">TEXT(D61,"ddd")</f>
        <v>Thu</v>
      </c>
      <c r="V61" s="13" t="n">
        <f aca="false">INT(D61)-INT(C61)</f>
        <v>4</v>
      </c>
      <c r="W61" s="13" t="str">
        <f aca="false">IF(M61="","No","Yes")</f>
        <v>No</v>
      </c>
      <c r="X61" s="13" t="str">
        <f aca="false">IF(AND(W61="Yes",S61&lt;&gt;""),ROUND((S61-C61)*24,1),"")</f>
        <v/>
      </c>
      <c r="Y61" s="13" t="str">
        <f aca="false">IF(X61="","N/A",IF(X61&lt;=12,"Yes","No"))</f>
        <v>N/A</v>
      </c>
      <c r="Z61" s="13" t="str">
        <f aca="true">IF(B61="Pending",TODAY()-INT(C61),"")</f>
        <v/>
      </c>
    </row>
    <row r="62" customFormat="false" ht="15" hidden="false" customHeight="false" outlineLevel="0" collapsed="false">
      <c r="A62" s="13" t="s">
        <v>136</v>
      </c>
      <c r="B62" s="13" t="s">
        <v>39</v>
      </c>
      <c r="C62" s="14" t="n">
        <v>46001.45</v>
      </c>
      <c r="D62" s="14" t="n">
        <v>46005.2916666667</v>
      </c>
      <c r="E62" s="15"/>
      <c r="F62" s="13" t="s">
        <v>52</v>
      </c>
      <c r="G62" s="13" t="s">
        <v>66</v>
      </c>
      <c r="H62" s="13" t="s">
        <v>42</v>
      </c>
      <c r="I62" s="13" t="s">
        <v>67</v>
      </c>
      <c r="J62" s="13" t="s">
        <v>44</v>
      </c>
      <c r="K62" s="13" t="s">
        <v>45</v>
      </c>
      <c r="L62" s="13" t="s">
        <v>60</v>
      </c>
      <c r="M62" s="13" t="s">
        <v>47</v>
      </c>
      <c r="N62" s="13" t="s">
        <v>62</v>
      </c>
      <c r="O62" s="13" t="s">
        <v>63</v>
      </c>
      <c r="P62" s="16"/>
      <c r="Q62" s="17"/>
      <c r="R62" s="13" t="s">
        <v>50</v>
      </c>
      <c r="S62" s="14" t="n">
        <v>46001.5576388889</v>
      </c>
      <c r="T62" s="13" t="str">
        <f aca="false">TEXT(D62,"mmm yyyy")</f>
        <v>Dec 2025</v>
      </c>
      <c r="U62" s="13" t="str">
        <f aca="false">TEXT(D62,"ddd")</f>
        <v>Sun</v>
      </c>
      <c r="V62" s="13" t="n">
        <f aca="false">INT(D62)-INT(C62)</f>
        <v>4</v>
      </c>
      <c r="W62" s="13" t="str">
        <f aca="false">IF(M62="","No","Yes")</f>
        <v>Yes</v>
      </c>
      <c r="X62" s="13" t="n">
        <f aca="false">IF(AND(W62="Yes",S62&lt;&gt;""),ROUND((S62-C62)*24,1),"")</f>
        <v>2.6</v>
      </c>
      <c r="Y62" s="13" t="str">
        <f aca="false">IF(X62="","N/A",IF(X62&lt;=12,"Yes","No"))</f>
        <v>Yes</v>
      </c>
      <c r="Z62" s="13" t="str">
        <f aca="true">IF(B62="Pending",TODAY()-INT(C62),"")</f>
        <v/>
      </c>
    </row>
    <row r="63" customFormat="false" ht="15" hidden="false" customHeight="false" outlineLevel="0" collapsed="false">
      <c r="A63" s="13" t="s">
        <v>137</v>
      </c>
      <c r="B63" s="13" t="s">
        <v>69</v>
      </c>
      <c r="C63" s="14" t="n">
        <v>46002.5861111111</v>
      </c>
      <c r="D63" s="14" t="n">
        <v>46006.7291666667</v>
      </c>
      <c r="E63" s="15"/>
      <c r="F63" s="13" t="s">
        <v>52</v>
      </c>
      <c r="G63" s="13" t="s">
        <v>66</v>
      </c>
      <c r="H63" s="13" t="s">
        <v>42</v>
      </c>
      <c r="I63" s="13" t="s">
        <v>53</v>
      </c>
      <c r="J63" s="13" t="s">
        <v>59</v>
      </c>
      <c r="K63" s="13" t="s">
        <v>45</v>
      </c>
      <c r="L63" s="13" t="s">
        <v>60</v>
      </c>
      <c r="M63" s="13"/>
      <c r="N63" s="13"/>
      <c r="O63" s="13"/>
      <c r="P63" s="16"/>
      <c r="Q63" s="17"/>
      <c r="R63" s="13" t="s">
        <v>50</v>
      </c>
      <c r="S63" s="14" t="n">
        <v>46003.0368055556</v>
      </c>
      <c r="T63" s="13" t="str">
        <f aca="false">TEXT(D63,"mmm yyyy")</f>
        <v>Dec 2025</v>
      </c>
      <c r="U63" s="13" t="str">
        <f aca="false">TEXT(D63,"ddd")</f>
        <v>Mon</v>
      </c>
      <c r="V63" s="13" t="n">
        <f aca="false">INT(D63)-INT(C63)</f>
        <v>4</v>
      </c>
      <c r="W63" s="13" t="str">
        <f aca="false">IF(M63="","No","Yes")</f>
        <v>No</v>
      </c>
      <c r="X63" s="13" t="str">
        <f aca="false">IF(AND(W63="Yes",S63&lt;&gt;""),ROUND((S63-C63)*24,1),"")</f>
        <v/>
      </c>
      <c r="Y63" s="13" t="str">
        <f aca="false">IF(X63="","N/A",IF(X63&lt;=12,"Yes","No"))</f>
        <v>N/A</v>
      </c>
      <c r="Z63" s="13" t="str">
        <f aca="true">IF(B63="Pending",TODAY()-INT(C63),"")</f>
        <v/>
      </c>
    </row>
    <row r="64" customFormat="false" ht="15" hidden="false" customHeight="false" outlineLevel="0" collapsed="false">
      <c r="A64" s="13" t="s">
        <v>138</v>
      </c>
      <c r="B64" s="13" t="s">
        <v>69</v>
      </c>
      <c r="C64" s="14" t="n">
        <v>46006.6645833333</v>
      </c>
      <c r="D64" s="14" t="n">
        <v>46010.5416666667</v>
      </c>
      <c r="E64" s="15"/>
      <c r="F64" s="13" t="s">
        <v>58</v>
      </c>
      <c r="G64" s="13" t="s">
        <v>66</v>
      </c>
      <c r="H64" s="13" t="s">
        <v>53</v>
      </c>
      <c r="I64" s="13" t="s">
        <v>42</v>
      </c>
      <c r="J64" s="13" t="s">
        <v>71</v>
      </c>
      <c r="K64" s="13" t="s">
        <v>45</v>
      </c>
      <c r="L64" s="13" t="s">
        <v>60</v>
      </c>
      <c r="M64" s="13"/>
      <c r="N64" s="13"/>
      <c r="O64" s="13"/>
      <c r="P64" s="16"/>
      <c r="Q64" s="17"/>
      <c r="R64" s="13" t="s">
        <v>50</v>
      </c>
      <c r="S64" s="14" t="n">
        <v>46006.8965277778</v>
      </c>
      <c r="T64" s="13" t="str">
        <f aca="false">TEXT(D64,"mmm yyyy")</f>
        <v>Dec 2025</v>
      </c>
      <c r="U64" s="13" t="str">
        <f aca="false">TEXT(D64,"ddd")</f>
        <v>Fri</v>
      </c>
      <c r="V64" s="13" t="n">
        <f aca="false">INT(D64)-INT(C64)</f>
        <v>4</v>
      </c>
      <c r="W64" s="13" t="str">
        <f aca="false">IF(M64="","No","Yes")</f>
        <v>No</v>
      </c>
      <c r="X64" s="13" t="str">
        <f aca="false">IF(AND(W64="Yes",S64&lt;&gt;""),ROUND((S64-C64)*24,1),"")</f>
        <v/>
      </c>
      <c r="Y64" s="13" t="str">
        <f aca="false">IF(X64="","N/A",IF(X64&lt;=12,"Yes","No"))</f>
        <v>N/A</v>
      </c>
      <c r="Z64" s="13" t="str">
        <f aca="true">IF(B64="Pending",TODAY()-INT(C64),"")</f>
        <v/>
      </c>
    </row>
    <row r="65" customFormat="false" ht="15" hidden="false" customHeight="false" outlineLevel="0" collapsed="false">
      <c r="A65" s="13" t="s">
        <v>139</v>
      </c>
      <c r="B65" s="13" t="s">
        <v>69</v>
      </c>
      <c r="C65" s="14" t="n">
        <v>46007.7326388889</v>
      </c>
      <c r="D65" s="14" t="n">
        <v>46011.7291666667</v>
      </c>
      <c r="E65" s="15" t="n">
        <v>0.0416666666666667</v>
      </c>
      <c r="F65" s="13" t="s">
        <v>88</v>
      </c>
      <c r="G65" s="13" t="s">
        <v>66</v>
      </c>
      <c r="H65" s="13" t="s">
        <v>42</v>
      </c>
      <c r="I65" s="13" t="s">
        <v>43</v>
      </c>
      <c r="J65" s="13" t="s">
        <v>44</v>
      </c>
      <c r="K65" s="13" t="s">
        <v>45</v>
      </c>
      <c r="L65" s="13" t="s">
        <v>46</v>
      </c>
      <c r="M65" s="13"/>
      <c r="N65" s="13"/>
      <c r="O65" s="13"/>
      <c r="P65" s="16"/>
      <c r="Q65" s="17"/>
      <c r="R65" s="13" t="s">
        <v>50</v>
      </c>
      <c r="S65" s="14" t="n">
        <v>46007.7868055556</v>
      </c>
      <c r="T65" s="13" t="str">
        <f aca="false">TEXT(D65,"mmm yyyy")</f>
        <v>Dec 2025</v>
      </c>
      <c r="U65" s="13" t="str">
        <f aca="false">TEXT(D65,"ddd")</f>
        <v>Sat</v>
      </c>
      <c r="V65" s="13" t="n">
        <f aca="false">INT(D65)-INT(C65)</f>
        <v>4</v>
      </c>
      <c r="W65" s="13" t="str">
        <f aca="false">IF(M65="","No","Yes")</f>
        <v>No</v>
      </c>
      <c r="X65" s="13" t="str">
        <f aca="false">IF(AND(W65="Yes",S65&lt;&gt;""),ROUND((S65-C65)*24,1),"")</f>
        <v/>
      </c>
      <c r="Y65" s="13" t="str">
        <f aca="false">IF(X65="","N/A",IF(X65&lt;=12,"Yes","No"))</f>
        <v>N/A</v>
      </c>
      <c r="Z65" s="13" t="str">
        <f aca="true">IF(B65="Pending",TODAY()-INT(C65),"")</f>
        <v/>
      </c>
    </row>
    <row r="66" customFormat="false" ht="15" hidden="false" customHeight="false" outlineLevel="0" collapsed="false">
      <c r="A66" s="13" t="s">
        <v>140</v>
      </c>
      <c r="B66" s="13" t="s">
        <v>69</v>
      </c>
      <c r="C66" s="14" t="n">
        <v>46008.4472222222</v>
      </c>
      <c r="D66" s="14" t="n">
        <v>46012.3958333333</v>
      </c>
      <c r="E66" s="15"/>
      <c r="F66" s="13" t="s">
        <v>73</v>
      </c>
      <c r="G66" s="13" t="s">
        <v>41</v>
      </c>
      <c r="H66" s="13" t="s">
        <v>53</v>
      </c>
      <c r="I66" s="13" t="s">
        <v>78</v>
      </c>
      <c r="J66" s="13" t="s">
        <v>71</v>
      </c>
      <c r="K66" s="13" t="s">
        <v>45</v>
      </c>
      <c r="L66" s="13" t="s">
        <v>60</v>
      </c>
      <c r="M66" s="13"/>
      <c r="N66" s="13"/>
      <c r="O66" s="13"/>
      <c r="P66" s="16"/>
      <c r="Q66" s="17"/>
      <c r="R66" s="13" t="s">
        <v>50</v>
      </c>
      <c r="S66" s="14" t="n">
        <v>46008.8631944444</v>
      </c>
      <c r="T66" s="13" t="str">
        <f aca="false">TEXT(D66,"mmm yyyy")</f>
        <v>Dec 2025</v>
      </c>
      <c r="U66" s="13" t="str">
        <f aca="false">TEXT(D66,"ddd")</f>
        <v>Sun</v>
      </c>
      <c r="V66" s="13" t="n">
        <f aca="false">INT(D66)-INT(C66)</f>
        <v>4</v>
      </c>
      <c r="W66" s="13" t="str">
        <f aca="false">IF(M66="","No","Yes")</f>
        <v>No</v>
      </c>
      <c r="X66" s="13" t="str">
        <f aca="false">IF(AND(W66="Yes",S66&lt;&gt;""),ROUND((S66-C66)*24,1),"")</f>
        <v/>
      </c>
      <c r="Y66" s="13" t="str">
        <f aca="false">IF(X66="","N/A",IF(X66&lt;=12,"Yes","No"))</f>
        <v>N/A</v>
      </c>
      <c r="Z66" s="13" t="str">
        <f aca="true">IF(B66="Pending",TODAY()-INT(C66),"")</f>
        <v/>
      </c>
    </row>
    <row r="67" customFormat="false" ht="15" hidden="false" customHeight="false" outlineLevel="0" collapsed="false">
      <c r="A67" s="13" t="s">
        <v>141</v>
      </c>
      <c r="B67" s="13" t="s">
        <v>39</v>
      </c>
      <c r="C67" s="14" t="n">
        <v>46008.68125</v>
      </c>
      <c r="D67" s="14" t="n">
        <v>46012.5416666667</v>
      </c>
      <c r="E67" s="15" t="n">
        <v>0.708333333333333</v>
      </c>
      <c r="F67" s="13" t="s">
        <v>96</v>
      </c>
      <c r="G67" s="13" t="s">
        <v>41</v>
      </c>
      <c r="H67" s="13" t="s">
        <v>53</v>
      </c>
      <c r="I67" s="13" t="s">
        <v>43</v>
      </c>
      <c r="J67" s="13" t="s">
        <v>44</v>
      </c>
      <c r="K67" s="13" t="s">
        <v>45</v>
      </c>
      <c r="L67" s="13" t="s">
        <v>46</v>
      </c>
      <c r="M67" s="13" t="s">
        <v>61</v>
      </c>
      <c r="N67" s="13" t="s">
        <v>48</v>
      </c>
      <c r="O67" s="13" t="s">
        <v>49</v>
      </c>
      <c r="P67" s="16"/>
      <c r="Q67" s="17"/>
      <c r="R67" s="13" t="s">
        <v>50</v>
      </c>
      <c r="S67" s="14" t="n">
        <v>46008.7208333333</v>
      </c>
      <c r="T67" s="13" t="str">
        <f aca="false">TEXT(D67,"mmm yyyy")</f>
        <v>Dec 2025</v>
      </c>
      <c r="U67" s="13" t="str">
        <f aca="false">TEXT(D67,"ddd")</f>
        <v>Sun</v>
      </c>
      <c r="V67" s="13" t="n">
        <f aca="false">INT(D67)-INT(C67)</f>
        <v>4</v>
      </c>
      <c r="W67" s="13" t="str">
        <f aca="false">IF(M67="","No","Yes")</f>
        <v>Yes</v>
      </c>
      <c r="X67" s="13" t="n">
        <f aca="false">IF(AND(W67="Yes",S67&lt;&gt;""),ROUND((S67-C67)*24,1),"")</f>
        <v>1</v>
      </c>
      <c r="Y67" s="13" t="str">
        <f aca="false">IF(X67="","N/A",IF(X67&lt;=12,"Yes","No"))</f>
        <v>Yes</v>
      </c>
      <c r="Z67" s="13" t="str">
        <f aca="true">IF(B67="Pending",TODAY()-INT(C67),"")</f>
        <v/>
      </c>
    </row>
    <row r="68" customFormat="false" ht="15" hidden="false" customHeight="false" outlineLevel="0" collapsed="false">
      <c r="A68" s="13" t="s">
        <v>142</v>
      </c>
      <c r="B68" s="13" t="s">
        <v>83</v>
      </c>
      <c r="C68" s="14" t="n">
        <v>46008.4069444445</v>
      </c>
      <c r="D68" s="14" t="n">
        <v>46012.7291666667</v>
      </c>
      <c r="E68" s="15" t="n">
        <v>0.0416666666666667</v>
      </c>
      <c r="F68" s="13" t="s">
        <v>58</v>
      </c>
      <c r="G68" s="13" t="s">
        <v>66</v>
      </c>
      <c r="H68" s="13" t="s">
        <v>42</v>
      </c>
      <c r="I68" s="13" t="s">
        <v>43</v>
      </c>
      <c r="J68" s="13" t="s">
        <v>44</v>
      </c>
      <c r="K68" s="13" t="s">
        <v>45</v>
      </c>
      <c r="L68" s="13" t="s">
        <v>46</v>
      </c>
      <c r="M68" s="13"/>
      <c r="N68" s="13"/>
      <c r="O68" s="13"/>
      <c r="P68" s="16"/>
      <c r="Q68" s="17"/>
      <c r="R68" s="13"/>
      <c r="S68" s="14"/>
      <c r="T68" s="13" t="str">
        <f aca="false">TEXT(D68,"mmm yyyy")</f>
        <v>Dec 2025</v>
      </c>
      <c r="U68" s="13" t="str">
        <f aca="false">TEXT(D68,"ddd")</f>
        <v>Sun</v>
      </c>
      <c r="V68" s="13" t="n">
        <f aca="false">INT(D68)-INT(C68)</f>
        <v>4</v>
      </c>
      <c r="W68" s="13" t="str">
        <f aca="false">IF(M68="","No","Yes")</f>
        <v>No</v>
      </c>
      <c r="X68" s="13" t="str">
        <f aca="false">IF(AND(W68="Yes",S68&lt;&gt;""),ROUND((S68-C68)*24,1),"")</f>
        <v/>
      </c>
      <c r="Y68" s="13" t="str">
        <f aca="false">IF(X68="","N/A",IF(X68&lt;=12,"Yes","No"))</f>
        <v>N/A</v>
      </c>
      <c r="Z68" s="18" t="n">
        <f aca="true">IF(B68="Pending",TODAY()-INT(C68),"")</f>
        <v>266</v>
      </c>
    </row>
    <row r="69" customFormat="false" ht="15" hidden="false" customHeight="false" outlineLevel="0" collapsed="false">
      <c r="A69" s="13" t="s">
        <v>143</v>
      </c>
      <c r="B69" s="13" t="s">
        <v>83</v>
      </c>
      <c r="C69" s="14" t="n">
        <v>46009.6131944444</v>
      </c>
      <c r="D69" s="14" t="n">
        <v>46013.5416666667</v>
      </c>
      <c r="E69" s="15"/>
      <c r="F69" s="13" t="s">
        <v>88</v>
      </c>
      <c r="G69" s="13" t="s">
        <v>41</v>
      </c>
      <c r="H69" s="13" t="s">
        <v>53</v>
      </c>
      <c r="I69" s="13" t="s">
        <v>42</v>
      </c>
      <c r="J69" s="13" t="s">
        <v>44</v>
      </c>
      <c r="K69" s="13" t="s">
        <v>45</v>
      </c>
      <c r="L69" s="13" t="s">
        <v>60</v>
      </c>
      <c r="M69" s="13"/>
      <c r="N69" s="13"/>
      <c r="O69" s="13"/>
      <c r="P69" s="16"/>
      <c r="Q69" s="17"/>
      <c r="R69" s="13"/>
      <c r="S69" s="14"/>
      <c r="T69" s="13" t="str">
        <f aca="false">TEXT(D69,"mmm yyyy")</f>
        <v>Dec 2025</v>
      </c>
      <c r="U69" s="13" t="str">
        <f aca="false">TEXT(D69,"ddd")</f>
        <v>Mon</v>
      </c>
      <c r="V69" s="13" t="n">
        <f aca="false">INT(D69)-INT(C69)</f>
        <v>4</v>
      </c>
      <c r="W69" s="13" t="str">
        <f aca="false">IF(M69="","No","Yes")</f>
        <v>No</v>
      </c>
      <c r="X69" s="13" t="str">
        <f aca="false">IF(AND(W69="Yes",S69&lt;&gt;""),ROUND((S69-C69)*24,1),"")</f>
        <v/>
      </c>
      <c r="Y69" s="13" t="str">
        <f aca="false">IF(X69="","N/A",IF(X69&lt;=12,"Yes","No"))</f>
        <v>N/A</v>
      </c>
      <c r="Z69" s="18" t="n">
        <f aca="true">IF(B69="Pending",TODAY()-INT(C69),"")</f>
        <v>265</v>
      </c>
    </row>
    <row r="70" customFormat="false" ht="15" hidden="false" customHeight="false" outlineLevel="0" collapsed="false">
      <c r="A70" s="13" t="s">
        <v>144</v>
      </c>
      <c r="B70" s="13" t="s">
        <v>83</v>
      </c>
      <c r="C70" s="14" t="n">
        <v>46009.6708333333</v>
      </c>
      <c r="D70" s="14" t="n">
        <v>46013.7291666667</v>
      </c>
      <c r="E70" s="15"/>
      <c r="F70" s="13" t="s">
        <v>73</v>
      </c>
      <c r="G70" s="13" t="s">
        <v>41</v>
      </c>
      <c r="H70" s="13" t="s">
        <v>42</v>
      </c>
      <c r="I70" s="13" t="s">
        <v>67</v>
      </c>
      <c r="J70" s="13" t="s">
        <v>131</v>
      </c>
      <c r="K70" s="13" t="s">
        <v>45</v>
      </c>
      <c r="L70" s="13" t="s">
        <v>60</v>
      </c>
      <c r="M70" s="13"/>
      <c r="N70" s="13"/>
      <c r="O70" s="13"/>
      <c r="P70" s="16"/>
      <c r="Q70" s="17"/>
      <c r="R70" s="13"/>
      <c r="S70" s="14"/>
      <c r="T70" s="13" t="str">
        <f aca="false">TEXT(D70,"mmm yyyy")</f>
        <v>Dec 2025</v>
      </c>
      <c r="U70" s="13" t="str">
        <f aca="false">TEXT(D70,"ddd")</f>
        <v>Mon</v>
      </c>
      <c r="V70" s="13" t="n">
        <f aca="false">INT(D70)-INT(C70)</f>
        <v>4</v>
      </c>
      <c r="W70" s="13" t="str">
        <f aca="false">IF(M70="","No","Yes")</f>
        <v>No</v>
      </c>
      <c r="X70" s="13" t="str">
        <f aca="false">IF(AND(W70="Yes",S70&lt;&gt;""),ROUND((S70-C70)*24,1),"")</f>
        <v/>
      </c>
      <c r="Y70" s="13" t="str">
        <f aca="false">IF(X70="","N/A",IF(X70&lt;=12,"Yes","No"))</f>
        <v>N/A</v>
      </c>
      <c r="Z70" s="18" t="n">
        <f aca="true">IF(B70="Pending",TODAY()-INT(C70),"")</f>
        <v>265</v>
      </c>
    </row>
    <row r="71" customFormat="false" ht="15" hidden="false" customHeight="false" outlineLevel="0" collapsed="false">
      <c r="A71" s="13" t="s">
        <v>145</v>
      </c>
      <c r="B71" s="13" t="s">
        <v>39</v>
      </c>
      <c r="C71" s="14" t="n">
        <v>46010.4270833333</v>
      </c>
      <c r="D71" s="14" t="n">
        <v>46014.2916666667</v>
      </c>
      <c r="E71" s="15" t="n">
        <v>0.708333333333333</v>
      </c>
      <c r="F71" s="13" t="s">
        <v>40</v>
      </c>
      <c r="G71" s="13" t="s">
        <v>41</v>
      </c>
      <c r="H71" s="13" t="s">
        <v>53</v>
      </c>
      <c r="I71" s="13" t="s">
        <v>43</v>
      </c>
      <c r="J71" s="13" t="s">
        <v>44</v>
      </c>
      <c r="K71" s="13" t="s">
        <v>45</v>
      </c>
      <c r="L71" s="13" t="s">
        <v>46</v>
      </c>
      <c r="M71" s="13" t="s">
        <v>47</v>
      </c>
      <c r="N71" s="13" t="s">
        <v>55</v>
      </c>
      <c r="O71" s="13" t="s">
        <v>56</v>
      </c>
      <c r="P71" s="16"/>
      <c r="Q71" s="17"/>
      <c r="R71" s="13" t="s">
        <v>50</v>
      </c>
      <c r="S71" s="14" t="n">
        <v>46010.74375</v>
      </c>
      <c r="T71" s="13" t="str">
        <f aca="false">TEXT(D71,"mmm yyyy")</f>
        <v>Dec 2025</v>
      </c>
      <c r="U71" s="13" t="str">
        <f aca="false">TEXT(D71,"ddd")</f>
        <v>Tue</v>
      </c>
      <c r="V71" s="13" t="n">
        <f aca="false">INT(D71)-INT(C71)</f>
        <v>4</v>
      </c>
      <c r="W71" s="13" t="str">
        <f aca="false">IF(M71="","No","Yes")</f>
        <v>Yes</v>
      </c>
      <c r="X71" s="13" t="n">
        <f aca="false">IF(AND(W71="Yes",S71&lt;&gt;""),ROUND((S71-C71)*24,1),"")</f>
        <v>7.6</v>
      </c>
      <c r="Y71" s="13" t="str">
        <f aca="false">IF(X71="","N/A",IF(X71&lt;=12,"Yes","No"))</f>
        <v>Yes</v>
      </c>
      <c r="Z71" s="13" t="str">
        <f aca="true">IF(B71="Pending",TODAY()-INT(C71),"")</f>
        <v/>
      </c>
    </row>
    <row r="72" customFormat="false" ht="15" hidden="false" customHeight="false" outlineLevel="0" collapsed="false">
      <c r="A72" s="13" t="s">
        <v>146</v>
      </c>
      <c r="B72" s="13" t="s">
        <v>65</v>
      </c>
      <c r="C72" s="14" t="n">
        <v>46016.56875</v>
      </c>
      <c r="D72" s="14" t="n">
        <v>46019.2708333333</v>
      </c>
      <c r="E72" s="15"/>
      <c r="F72" s="13" t="s">
        <v>96</v>
      </c>
      <c r="G72" s="13" t="s">
        <v>41</v>
      </c>
      <c r="H72" s="13" t="s">
        <v>42</v>
      </c>
      <c r="I72" s="13" t="s">
        <v>53</v>
      </c>
      <c r="J72" s="13" t="s">
        <v>59</v>
      </c>
      <c r="K72" s="13" t="s">
        <v>45</v>
      </c>
      <c r="L72" s="13" t="s">
        <v>60</v>
      </c>
      <c r="M72" s="13"/>
      <c r="N72" s="13"/>
      <c r="O72" s="13"/>
      <c r="P72" s="16"/>
      <c r="Q72" s="17"/>
      <c r="R72" s="13" t="s">
        <v>50</v>
      </c>
      <c r="S72" s="14" t="n">
        <v>46016.6645833333</v>
      </c>
      <c r="T72" s="13" t="str">
        <f aca="false">TEXT(D72,"mmm yyyy")</f>
        <v>Dec 2025</v>
      </c>
      <c r="U72" s="13" t="str">
        <f aca="false">TEXT(D72,"ddd")</f>
        <v>Sun</v>
      </c>
      <c r="V72" s="13" t="n">
        <f aca="false">INT(D72)-INT(C72)</f>
        <v>3</v>
      </c>
      <c r="W72" s="13" t="str">
        <f aca="false">IF(M72="","No","Yes")</f>
        <v>No</v>
      </c>
      <c r="X72" s="13" t="str">
        <f aca="false">IF(AND(W72="Yes",S72&lt;&gt;""),ROUND((S72-C72)*24,1),"")</f>
        <v/>
      </c>
      <c r="Y72" s="13" t="str">
        <f aca="false">IF(X72="","N/A",IF(X72&lt;=12,"Yes","No"))</f>
        <v>N/A</v>
      </c>
      <c r="Z72" s="13" t="str">
        <f aca="true">IF(B72="Pending",TODAY()-INT(C72),"")</f>
        <v/>
      </c>
    </row>
    <row r="73" customFormat="false" ht="15" hidden="false" customHeight="false" outlineLevel="0" collapsed="false">
      <c r="A73" s="13" t="s">
        <v>147</v>
      </c>
      <c r="B73" s="13" t="s">
        <v>65</v>
      </c>
      <c r="C73" s="14" t="n">
        <v>46023.6527777778</v>
      </c>
      <c r="D73" s="14" t="n">
        <v>46027.2916666667</v>
      </c>
      <c r="E73" s="15"/>
      <c r="F73" s="13" t="s">
        <v>73</v>
      </c>
      <c r="G73" s="13" t="s">
        <v>41</v>
      </c>
      <c r="H73" s="13" t="s">
        <v>42</v>
      </c>
      <c r="I73" s="13" t="s">
        <v>53</v>
      </c>
      <c r="J73" s="13" t="s">
        <v>59</v>
      </c>
      <c r="K73" s="13" t="s">
        <v>45</v>
      </c>
      <c r="L73" s="13" t="s">
        <v>60</v>
      </c>
      <c r="M73" s="13"/>
      <c r="N73" s="13"/>
      <c r="O73" s="13"/>
      <c r="P73" s="16"/>
      <c r="Q73" s="17"/>
      <c r="R73" s="13" t="s">
        <v>50</v>
      </c>
      <c r="S73" s="14" t="n">
        <v>46023.9819444444</v>
      </c>
      <c r="T73" s="13" t="str">
        <f aca="false">TEXT(D73,"mmm yyyy")</f>
        <v>Jan 2026</v>
      </c>
      <c r="U73" s="13" t="str">
        <f aca="false">TEXT(D73,"ddd")</f>
        <v>Mon</v>
      </c>
      <c r="V73" s="13" t="n">
        <f aca="false">INT(D73)-INT(C73)</f>
        <v>4</v>
      </c>
      <c r="W73" s="13" t="str">
        <f aca="false">IF(M73="","No","Yes")</f>
        <v>No</v>
      </c>
      <c r="X73" s="13" t="str">
        <f aca="false">IF(AND(W73="Yes",S73&lt;&gt;""),ROUND((S73-C73)*24,1),"")</f>
        <v/>
      </c>
      <c r="Y73" s="13" t="str">
        <f aca="false">IF(X73="","N/A",IF(X73&lt;=12,"Yes","No"))</f>
        <v>N/A</v>
      </c>
      <c r="Z73" s="13" t="str">
        <f aca="true">IF(B73="Pending",TODAY()-INT(C73),"")</f>
        <v/>
      </c>
    </row>
    <row r="74" customFormat="false" ht="15" hidden="false" customHeight="false" outlineLevel="0" collapsed="false">
      <c r="A74" s="13" t="s">
        <v>148</v>
      </c>
      <c r="B74" s="13" t="s">
        <v>39</v>
      </c>
      <c r="C74" s="14" t="n">
        <v>46024.6215277778</v>
      </c>
      <c r="D74" s="14" t="n">
        <v>46028.2708333333</v>
      </c>
      <c r="E74" s="15"/>
      <c r="F74" s="13" t="s">
        <v>96</v>
      </c>
      <c r="G74" s="13" t="s">
        <v>66</v>
      </c>
      <c r="H74" s="13" t="s">
        <v>42</v>
      </c>
      <c r="I74" s="13" t="s">
        <v>53</v>
      </c>
      <c r="J74" s="13" t="s">
        <v>59</v>
      </c>
      <c r="K74" s="13" t="s">
        <v>45</v>
      </c>
      <c r="L74" s="13" t="s">
        <v>60</v>
      </c>
      <c r="M74" s="13" t="s">
        <v>47</v>
      </c>
      <c r="N74" s="13" t="s">
        <v>79</v>
      </c>
      <c r="O74" s="13" t="s">
        <v>80</v>
      </c>
      <c r="P74" s="16"/>
      <c r="Q74" s="17"/>
      <c r="R74" s="13" t="s">
        <v>50</v>
      </c>
      <c r="S74" s="14" t="n">
        <v>46024.7847222222</v>
      </c>
      <c r="T74" s="13" t="str">
        <f aca="false">TEXT(D74,"mmm yyyy")</f>
        <v>Jan 2026</v>
      </c>
      <c r="U74" s="13" t="str">
        <f aca="false">TEXT(D74,"ddd")</f>
        <v>Tue</v>
      </c>
      <c r="V74" s="13" t="n">
        <f aca="false">INT(D74)-INT(C74)</f>
        <v>4</v>
      </c>
      <c r="W74" s="13" t="str">
        <f aca="false">IF(M74="","No","Yes")</f>
        <v>Yes</v>
      </c>
      <c r="X74" s="13" t="n">
        <f aca="false">IF(AND(W74="Yes",S74&lt;&gt;""),ROUND((S74-C74)*24,1),"")</f>
        <v>3.9</v>
      </c>
      <c r="Y74" s="13" t="str">
        <f aca="false">IF(X74="","N/A",IF(X74&lt;=12,"Yes","No"))</f>
        <v>Yes</v>
      </c>
      <c r="Z74" s="13" t="str">
        <f aca="true">IF(B74="Pending",TODAY()-INT(C74),"")</f>
        <v/>
      </c>
    </row>
    <row r="75" customFormat="false" ht="15" hidden="false" customHeight="false" outlineLevel="0" collapsed="false">
      <c r="A75" s="13" t="s">
        <v>149</v>
      </c>
      <c r="B75" s="13" t="s">
        <v>83</v>
      </c>
      <c r="C75" s="14" t="n">
        <v>46025.7416666667</v>
      </c>
      <c r="D75" s="14" t="n">
        <v>46029.2916666667</v>
      </c>
      <c r="E75" s="15"/>
      <c r="F75" s="13" t="s">
        <v>88</v>
      </c>
      <c r="G75" s="13" t="s">
        <v>41</v>
      </c>
      <c r="H75" s="13" t="s">
        <v>53</v>
      </c>
      <c r="I75" s="13" t="s">
        <v>78</v>
      </c>
      <c r="J75" s="13" t="s">
        <v>131</v>
      </c>
      <c r="K75" s="13" t="s">
        <v>45</v>
      </c>
      <c r="L75" s="13" t="s">
        <v>60</v>
      </c>
      <c r="M75" s="13"/>
      <c r="N75" s="13"/>
      <c r="O75" s="13"/>
      <c r="P75" s="16"/>
      <c r="Q75" s="17"/>
      <c r="R75" s="13"/>
      <c r="S75" s="14"/>
      <c r="T75" s="13" t="str">
        <f aca="false">TEXT(D75,"mmm yyyy")</f>
        <v>Jan 2026</v>
      </c>
      <c r="U75" s="13" t="str">
        <f aca="false">TEXT(D75,"ddd")</f>
        <v>Wed</v>
      </c>
      <c r="V75" s="13" t="n">
        <f aca="false">INT(D75)-INT(C75)</f>
        <v>4</v>
      </c>
      <c r="W75" s="13" t="str">
        <f aca="false">IF(M75="","No","Yes")</f>
        <v>No</v>
      </c>
      <c r="X75" s="13" t="str">
        <f aca="false">IF(AND(W75="Yes",S75&lt;&gt;""),ROUND((S75-C75)*24,1),"")</f>
        <v/>
      </c>
      <c r="Y75" s="13" t="str">
        <f aca="false">IF(X75="","N/A",IF(X75&lt;=12,"Yes","No"))</f>
        <v>N/A</v>
      </c>
      <c r="Z75" s="18" t="n">
        <f aca="true">IF(B75="Pending",TODAY()-INT(C75),"")</f>
        <v>249</v>
      </c>
    </row>
    <row r="76" customFormat="false" ht="15" hidden="false" customHeight="false" outlineLevel="0" collapsed="false">
      <c r="A76" s="13" t="s">
        <v>150</v>
      </c>
      <c r="B76" s="13" t="s">
        <v>39</v>
      </c>
      <c r="C76" s="14" t="n">
        <v>46025.4131944445</v>
      </c>
      <c r="D76" s="14" t="n">
        <v>46029.7291666667</v>
      </c>
      <c r="E76" s="15" t="n">
        <v>0.0416666666666667</v>
      </c>
      <c r="F76" s="13" t="s">
        <v>40</v>
      </c>
      <c r="G76" s="13" t="s">
        <v>66</v>
      </c>
      <c r="H76" s="13" t="s">
        <v>42</v>
      </c>
      <c r="I76" s="13" t="s">
        <v>43</v>
      </c>
      <c r="J76" s="13" t="s">
        <v>44</v>
      </c>
      <c r="K76" s="13" t="s">
        <v>45</v>
      </c>
      <c r="L76" s="13" t="s">
        <v>46</v>
      </c>
      <c r="M76" s="13" t="s">
        <v>54</v>
      </c>
      <c r="N76" s="13" t="s">
        <v>62</v>
      </c>
      <c r="O76" s="13" t="s">
        <v>63</v>
      </c>
      <c r="P76" s="16"/>
      <c r="Q76" s="17"/>
      <c r="R76" s="13" t="s">
        <v>50</v>
      </c>
      <c r="S76" s="14" t="n">
        <v>46025.4520833333</v>
      </c>
      <c r="T76" s="13" t="str">
        <f aca="false">TEXT(D76,"mmm yyyy")</f>
        <v>Jan 2026</v>
      </c>
      <c r="U76" s="13" t="str">
        <f aca="false">TEXT(D76,"ddd")</f>
        <v>Wed</v>
      </c>
      <c r="V76" s="13" t="n">
        <f aca="false">INT(D76)-INT(C76)</f>
        <v>4</v>
      </c>
      <c r="W76" s="13" t="str">
        <f aca="false">IF(M76="","No","Yes")</f>
        <v>Yes</v>
      </c>
      <c r="X76" s="13" t="n">
        <f aca="false">IF(AND(W76="Yes",S76&lt;&gt;""),ROUND((S76-C76)*24,1),"")</f>
        <v>0.9</v>
      </c>
      <c r="Y76" s="13" t="str">
        <f aca="false">IF(X76="","N/A",IF(X76&lt;=12,"Yes","No"))</f>
        <v>Yes</v>
      </c>
      <c r="Z76" s="13" t="str">
        <f aca="true">IF(B76="Pending",TODAY()-INT(C76),"")</f>
        <v/>
      </c>
    </row>
    <row r="77" customFormat="false" ht="15" hidden="false" customHeight="false" outlineLevel="0" collapsed="false">
      <c r="A77" s="13" t="s">
        <v>151</v>
      </c>
      <c r="B77" s="13" t="s">
        <v>39</v>
      </c>
      <c r="C77" s="14" t="n">
        <v>46025.5993055556</v>
      </c>
      <c r="D77" s="14" t="n">
        <v>46029.7291666667</v>
      </c>
      <c r="E77" s="15"/>
      <c r="F77" s="13" t="s">
        <v>88</v>
      </c>
      <c r="G77" s="13" t="s">
        <v>41</v>
      </c>
      <c r="H77" s="13" t="s">
        <v>53</v>
      </c>
      <c r="I77" s="13" t="s">
        <v>42</v>
      </c>
      <c r="J77" s="13" t="s">
        <v>131</v>
      </c>
      <c r="K77" s="13" t="s">
        <v>45</v>
      </c>
      <c r="L77" s="13" t="s">
        <v>60</v>
      </c>
      <c r="M77" s="13" t="s">
        <v>61</v>
      </c>
      <c r="N77" s="13" t="s">
        <v>48</v>
      </c>
      <c r="O77" s="13" t="s">
        <v>49</v>
      </c>
      <c r="P77" s="16"/>
      <c r="Q77" s="17"/>
      <c r="R77" s="13" t="s">
        <v>50</v>
      </c>
      <c r="S77" s="14" t="n">
        <v>46026.9263888889</v>
      </c>
      <c r="T77" s="13" t="str">
        <f aca="false">TEXT(D77,"mmm yyyy")</f>
        <v>Jan 2026</v>
      </c>
      <c r="U77" s="13" t="str">
        <f aca="false">TEXT(D77,"ddd")</f>
        <v>Wed</v>
      </c>
      <c r="V77" s="13" t="n">
        <f aca="false">INT(D77)-INT(C77)</f>
        <v>4</v>
      </c>
      <c r="W77" s="13" t="str">
        <f aca="false">IF(M77="","No","Yes")</f>
        <v>Yes</v>
      </c>
      <c r="X77" s="13" t="n">
        <f aca="false">IF(AND(W77="Yes",S77&lt;&gt;""),ROUND((S77-C77)*24,1),"")</f>
        <v>31.9</v>
      </c>
      <c r="Y77" s="13" t="str">
        <f aca="false">IF(X77="","N/A",IF(X77&lt;=12,"Yes","No"))</f>
        <v>No</v>
      </c>
      <c r="Z77" s="13" t="str">
        <f aca="true">IF(B77="Pending",TODAY()-INT(C77),"")</f>
        <v/>
      </c>
    </row>
    <row r="78" customFormat="false" ht="15" hidden="false" customHeight="false" outlineLevel="0" collapsed="false">
      <c r="A78" s="13" t="s">
        <v>152</v>
      </c>
      <c r="B78" s="13" t="s">
        <v>39</v>
      </c>
      <c r="C78" s="14" t="n">
        <v>46027.4</v>
      </c>
      <c r="D78" s="14" t="n">
        <v>46031.2916666667</v>
      </c>
      <c r="E78" s="15" t="n">
        <v>0.708333333333333</v>
      </c>
      <c r="F78" s="13" t="s">
        <v>88</v>
      </c>
      <c r="G78" s="13" t="s">
        <v>66</v>
      </c>
      <c r="H78" s="13" t="s">
        <v>42</v>
      </c>
      <c r="I78" s="13" t="s">
        <v>43</v>
      </c>
      <c r="J78" s="13" t="s">
        <v>44</v>
      </c>
      <c r="K78" s="13" t="s">
        <v>45</v>
      </c>
      <c r="L78" s="13" t="s">
        <v>46</v>
      </c>
      <c r="M78" s="13" t="s">
        <v>47</v>
      </c>
      <c r="N78" s="13" t="s">
        <v>79</v>
      </c>
      <c r="O78" s="13" t="s">
        <v>80</v>
      </c>
      <c r="P78" s="16"/>
      <c r="Q78" s="17"/>
      <c r="R78" s="13" t="s">
        <v>50</v>
      </c>
      <c r="S78" s="14" t="n">
        <v>46027.7770833333</v>
      </c>
      <c r="T78" s="13" t="str">
        <f aca="false">TEXT(D78,"mmm yyyy")</f>
        <v>Jan 2026</v>
      </c>
      <c r="U78" s="13" t="str">
        <f aca="false">TEXT(D78,"ddd")</f>
        <v>Fri</v>
      </c>
      <c r="V78" s="13" t="n">
        <f aca="false">INT(D78)-INT(C78)</f>
        <v>4</v>
      </c>
      <c r="W78" s="13" t="str">
        <f aca="false">IF(M78="","No","Yes")</f>
        <v>Yes</v>
      </c>
      <c r="X78" s="13" t="n">
        <f aca="false">IF(AND(W78="Yes",S78&lt;&gt;""),ROUND((S78-C78)*24,1),"")</f>
        <v>9.1</v>
      </c>
      <c r="Y78" s="13" t="str">
        <f aca="false">IF(X78="","N/A",IF(X78&lt;=12,"Yes","No"))</f>
        <v>Yes</v>
      </c>
      <c r="Z78" s="13" t="str">
        <f aca="true">IF(B78="Pending",TODAY()-INT(C78),"")</f>
        <v/>
      </c>
    </row>
    <row r="79" customFormat="false" ht="15" hidden="false" customHeight="false" outlineLevel="0" collapsed="false">
      <c r="A79" s="13" t="s">
        <v>153</v>
      </c>
      <c r="B79" s="13" t="s">
        <v>39</v>
      </c>
      <c r="C79" s="14" t="n">
        <v>46028.5076388889</v>
      </c>
      <c r="D79" s="14" t="n">
        <v>46032.3958333333</v>
      </c>
      <c r="E79" s="15" t="n">
        <v>0.708333333333333</v>
      </c>
      <c r="F79" s="13" t="s">
        <v>73</v>
      </c>
      <c r="G79" s="13" t="s">
        <v>66</v>
      </c>
      <c r="H79" s="13" t="s">
        <v>42</v>
      </c>
      <c r="I79" s="13" t="s">
        <v>43</v>
      </c>
      <c r="J79" s="13" t="s">
        <v>44</v>
      </c>
      <c r="K79" s="13" t="s">
        <v>45</v>
      </c>
      <c r="L79" s="13" t="s">
        <v>46</v>
      </c>
      <c r="M79" s="13" t="s">
        <v>54</v>
      </c>
      <c r="N79" s="13" t="s">
        <v>48</v>
      </c>
      <c r="O79" s="13" t="s">
        <v>49</v>
      </c>
      <c r="P79" s="16"/>
      <c r="Q79" s="17"/>
      <c r="R79" s="13" t="s">
        <v>50</v>
      </c>
      <c r="S79" s="14" t="n">
        <v>46028.9020833333</v>
      </c>
      <c r="T79" s="13" t="str">
        <f aca="false">TEXT(D79,"mmm yyyy")</f>
        <v>Jan 2026</v>
      </c>
      <c r="U79" s="13" t="str">
        <f aca="false">TEXT(D79,"ddd")</f>
        <v>Sat</v>
      </c>
      <c r="V79" s="13" t="n">
        <f aca="false">INT(D79)-INT(C79)</f>
        <v>4</v>
      </c>
      <c r="W79" s="13" t="str">
        <f aca="false">IF(M79="","No","Yes")</f>
        <v>Yes</v>
      </c>
      <c r="X79" s="13" t="n">
        <f aca="false">IF(AND(W79="Yes",S79&lt;&gt;""),ROUND((S79-C79)*24,1),"")</f>
        <v>9.5</v>
      </c>
      <c r="Y79" s="13" t="str">
        <f aca="false">IF(X79="","N/A",IF(X79&lt;=12,"Yes","No"))</f>
        <v>Yes</v>
      </c>
      <c r="Z79" s="13" t="str">
        <f aca="true">IF(B79="Pending",TODAY()-INT(C79),"")</f>
        <v/>
      </c>
    </row>
    <row r="80" customFormat="false" ht="15" hidden="false" customHeight="false" outlineLevel="0" collapsed="false">
      <c r="A80" s="13" t="s">
        <v>154</v>
      </c>
      <c r="B80" s="13" t="s">
        <v>39</v>
      </c>
      <c r="C80" s="14" t="n">
        <v>46028.7243055556</v>
      </c>
      <c r="D80" s="14" t="n">
        <v>46032.3958333333</v>
      </c>
      <c r="E80" s="15"/>
      <c r="F80" s="13" t="s">
        <v>58</v>
      </c>
      <c r="G80" s="13" t="s">
        <v>66</v>
      </c>
      <c r="H80" s="13" t="s">
        <v>53</v>
      </c>
      <c r="I80" s="13" t="s">
        <v>78</v>
      </c>
      <c r="J80" s="13" t="s">
        <v>59</v>
      </c>
      <c r="K80" s="13" t="s">
        <v>45</v>
      </c>
      <c r="L80" s="13" t="s">
        <v>60</v>
      </c>
      <c r="M80" s="13" t="s">
        <v>47</v>
      </c>
      <c r="N80" s="13" t="s">
        <v>62</v>
      </c>
      <c r="O80" s="13" t="s">
        <v>63</v>
      </c>
      <c r="P80" s="16"/>
      <c r="Q80" s="17"/>
      <c r="R80" s="13" t="s">
        <v>50</v>
      </c>
      <c r="S80" s="14" t="n">
        <v>46029.0638888889</v>
      </c>
      <c r="T80" s="13" t="str">
        <f aca="false">TEXT(D80,"mmm yyyy")</f>
        <v>Jan 2026</v>
      </c>
      <c r="U80" s="13" t="str">
        <f aca="false">TEXT(D80,"ddd")</f>
        <v>Sat</v>
      </c>
      <c r="V80" s="13" t="n">
        <f aca="false">INT(D80)-INT(C80)</f>
        <v>4</v>
      </c>
      <c r="W80" s="13" t="str">
        <f aca="false">IF(M80="","No","Yes")</f>
        <v>Yes</v>
      </c>
      <c r="X80" s="13" t="n">
        <f aca="false">IF(AND(W80="Yes",S80&lt;&gt;""),ROUND((S80-C80)*24,1),"")</f>
        <v>8.2</v>
      </c>
      <c r="Y80" s="13" t="str">
        <f aca="false">IF(X80="","N/A",IF(X80&lt;=12,"Yes","No"))</f>
        <v>Yes</v>
      </c>
      <c r="Z80" s="13" t="str">
        <f aca="true">IF(B80="Pending",TODAY()-INT(C80),"")</f>
        <v/>
      </c>
    </row>
    <row r="81" customFormat="false" ht="15" hidden="false" customHeight="false" outlineLevel="0" collapsed="false">
      <c r="A81" s="13" t="s">
        <v>155</v>
      </c>
      <c r="B81" s="13" t="s">
        <v>65</v>
      </c>
      <c r="C81" s="14" t="n">
        <v>46029.6555555556</v>
      </c>
      <c r="D81" s="14" t="n">
        <v>46033.3958333333</v>
      </c>
      <c r="E81" s="15" t="n">
        <v>0.708333333333333</v>
      </c>
      <c r="F81" s="13" t="s">
        <v>58</v>
      </c>
      <c r="G81" s="13" t="s">
        <v>41</v>
      </c>
      <c r="H81" s="13" t="s">
        <v>53</v>
      </c>
      <c r="I81" s="13" t="s">
        <v>43</v>
      </c>
      <c r="J81" s="13" t="s">
        <v>44</v>
      </c>
      <c r="K81" s="13" t="s">
        <v>45</v>
      </c>
      <c r="L81" s="13" t="s">
        <v>46</v>
      </c>
      <c r="M81" s="13"/>
      <c r="N81" s="13"/>
      <c r="O81" s="13"/>
      <c r="P81" s="16"/>
      <c r="Q81" s="17"/>
      <c r="R81" s="13" t="s">
        <v>50</v>
      </c>
      <c r="S81" s="14" t="n">
        <v>46030.0020833333</v>
      </c>
      <c r="T81" s="13" t="str">
        <f aca="false">TEXT(D81,"mmm yyyy")</f>
        <v>Jan 2026</v>
      </c>
      <c r="U81" s="13" t="str">
        <f aca="false">TEXT(D81,"ddd")</f>
        <v>Sun</v>
      </c>
      <c r="V81" s="13" t="n">
        <f aca="false">INT(D81)-INT(C81)</f>
        <v>4</v>
      </c>
      <c r="W81" s="13" t="str">
        <f aca="false">IF(M81="","No","Yes")</f>
        <v>No</v>
      </c>
      <c r="X81" s="13" t="str">
        <f aca="false">IF(AND(W81="Yes",S81&lt;&gt;""),ROUND((S81-C81)*24,1),"")</f>
        <v/>
      </c>
      <c r="Y81" s="13" t="str">
        <f aca="false">IF(X81="","N/A",IF(X81&lt;=12,"Yes","No"))</f>
        <v>N/A</v>
      </c>
      <c r="Z81" s="13" t="str">
        <f aca="true">IF(B81="Pending",TODAY()-INT(C81),"")</f>
        <v/>
      </c>
    </row>
    <row r="82" customFormat="false" ht="15" hidden="false" customHeight="false" outlineLevel="0" collapsed="false">
      <c r="A82" s="13" t="s">
        <v>156</v>
      </c>
      <c r="B82" s="13" t="s">
        <v>69</v>
      </c>
      <c r="C82" s="14" t="n">
        <v>46029.5722222222</v>
      </c>
      <c r="D82" s="14" t="n">
        <v>46033.5416666667</v>
      </c>
      <c r="E82" s="15"/>
      <c r="F82" s="13" t="s">
        <v>96</v>
      </c>
      <c r="G82" s="13" t="s">
        <v>66</v>
      </c>
      <c r="H82" s="13" t="s">
        <v>53</v>
      </c>
      <c r="I82" s="13" t="s">
        <v>78</v>
      </c>
      <c r="J82" s="13" t="s">
        <v>44</v>
      </c>
      <c r="K82" s="13" t="s">
        <v>45</v>
      </c>
      <c r="L82" s="13" t="s">
        <v>60</v>
      </c>
      <c r="M82" s="13"/>
      <c r="N82" s="13"/>
      <c r="O82" s="13"/>
      <c r="P82" s="16"/>
      <c r="Q82" s="17"/>
      <c r="R82" s="13" t="s">
        <v>50</v>
      </c>
      <c r="S82" s="14" t="n">
        <v>46029.7868055556</v>
      </c>
      <c r="T82" s="13" t="str">
        <f aca="false">TEXT(D82,"mmm yyyy")</f>
        <v>Jan 2026</v>
      </c>
      <c r="U82" s="13" t="str">
        <f aca="false">TEXT(D82,"ddd")</f>
        <v>Sun</v>
      </c>
      <c r="V82" s="13" t="n">
        <f aca="false">INT(D82)-INT(C82)</f>
        <v>4</v>
      </c>
      <c r="W82" s="13" t="str">
        <f aca="false">IF(M82="","No","Yes")</f>
        <v>No</v>
      </c>
      <c r="X82" s="13" t="str">
        <f aca="false">IF(AND(W82="Yes",S82&lt;&gt;""),ROUND((S82-C82)*24,1),"")</f>
        <v/>
      </c>
      <c r="Y82" s="13" t="str">
        <f aca="false">IF(X82="","N/A",IF(X82&lt;=12,"Yes","No"))</f>
        <v>N/A</v>
      </c>
      <c r="Z82" s="13" t="str">
        <f aca="true">IF(B82="Pending",TODAY()-INT(C82),"")</f>
        <v/>
      </c>
    </row>
    <row r="83" customFormat="false" ht="15" hidden="false" customHeight="false" outlineLevel="0" collapsed="false">
      <c r="A83" s="13" t="s">
        <v>157</v>
      </c>
      <c r="B83" s="13" t="s">
        <v>83</v>
      </c>
      <c r="C83" s="14" t="n">
        <v>46031.4694444445</v>
      </c>
      <c r="D83" s="14" t="n">
        <v>46035.2916666667</v>
      </c>
      <c r="E83" s="15" t="n">
        <v>0.708333333333333</v>
      </c>
      <c r="F83" s="13" t="s">
        <v>40</v>
      </c>
      <c r="G83" s="13" t="s">
        <v>41</v>
      </c>
      <c r="H83" s="13" t="s">
        <v>53</v>
      </c>
      <c r="I83" s="13" t="s">
        <v>43</v>
      </c>
      <c r="J83" s="13" t="s">
        <v>44</v>
      </c>
      <c r="K83" s="13" t="s">
        <v>45</v>
      </c>
      <c r="L83" s="13" t="s">
        <v>46</v>
      </c>
      <c r="M83" s="13"/>
      <c r="N83" s="13"/>
      <c r="O83" s="13"/>
      <c r="P83" s="16"/>
      <c r="Q83" s="17"/>
      <c r="R83" s="13"/>
      <c r="S83" s="14"/>
      <c r="T83" s="13" t="str">
        <f aca="false">TEXT(D83,"mmm yyyy")</f>
        <v>Jan 2026</v>
      </c>
      <c r="U83" s="13" t="str">
        <f aca="false">TEXT(D83,"ddd")</f>
        <v>Tue</v>
      </c>
      <c r="V83" s="13" t="n">
        <f aca="false">INT(D83)-INT(C83)</f>
        <v>4</v>
      </c>
      <c r="W83" s="13" t="str">
        <f aca="false">IF(M83="","No","Yes")</f>
        <v>No</v>
      </c>
      <c r="X83" s="13" t="str">
        <f aca="false">IF(AND(W83="Yes",S83&lt;&gt;""),ROUND((S83-C83)*24,1),"")</f>
        <v/>
      </c>
      <c r="Y83" s="13" t="str">
        <f aca="false">IF(X83="","N/A",IF(X83&lt;=12,"Yes","No"))</f>
        <v>N/A</v>
      </c>
      <c r="Z83" s="18" t="n">
        <f aca="true">IF(B83="Pending",TODAY()-INT(C83),"")</f>
        <v>243</v>
      </c>
    </row>
    <row r="84" customFormat="false" ht="15" hidden="false" customHeight="false" outlineLevel="0" collapsed="false">
      <c r="A84" s="13" t="s">
        <v>158</v>
      </c>
      <c r="B84" s="13" t="s">
        <v>39</v>
      </c>
      <c r="C84" s="14" t="n">
        <v>46032.6263888889</v>
      </c>
      <c r="D84" s="14" t="n">
        <v>46036.5416666667</v>
      </c>
      <c r="E84" s="15" t="n">
        <v>0.708333333333333</v>
      </c>
      <c r="F84" s="13" t="s">
        <v>52</v>
      </c>
      <c r="G84" s="13" t="s">
        <v>66</v>
      </c>
      <c r="H84" s="13" t="s">
        <v>53</v>
      </c>
      <c r="I84" s="13" t="s">
        <v>43</v>
      </c>
      <c r="J84" s="13" t="s">
        <v>44</v>
      </c>
      <c r="K84" s="13" t="s">
        <v>45</v>
      </c>
      <c r="L84" s="13" t="s">
        <v>46</v>
      </c>
      <c r="M84" s="13" t="s">
        <v>90</v>
      </c>
      <c r="N84" s="13" t="s">
        <v>62</v>
      </c>
      <c r="O84" s="13" t="s">
        <v>63</v>
      </c>
      <c r="P84" s="16"/>
      <c r="Q84" s="17"/>
      <c r="R84" s="13" t="s">
        <v>50</v>
      </c>
      <c r="S84" s="14" t="n">
        <v>46033.0701388889</v>
      </c>
      <c r="T84" s="13" t="str">
        <f aca="false">TEXT(D84,"mmm yyyy")</f>
        <v>Jan 2026</v>
      </c>
      <c r="U84" s="13" t="str">
        <f aca="false">TEXT(D84,"ddd")</f>
        <v>Wed</v>
      </c>
      <c r="V84" s="13" t="n">
        <f aca="false">INT(D84)-INT(C84)</f>
        <v>4</v>
      </c>
      <c r="W84" s="13" t="str">
        <f aca="false">IF(M84="","No","Yes")</f>
        <v>Yes</v>
      </c>
      <c r="X84" s="13" t="n">
        <f aca="false">IF(AND(W84="Yes",S84&lt;&gt;""),ROUND((S84-C84)*24,1),"")</f>
        <v>10.7</v>
      </c>
      <c r="Y84" s="13" t="str">
        <f aca="false">IF(X84="","N/A",IF(X84&lt;=12,"Yes","No"))</f>
        <v>Yes</v>
      </c>
      <c r="Z84" s="13" t="str">
        <f aca="true">IF(B84="Pending",TODAY()-INT(C84),"")</f>
        <v/>
      </c>
    </row>
    <row r="85" customFormat="false" ht="15" hidden="false" customHeight="false" outlineLevel="0" collapsed="false">
      <c r="A85" s="13" t="s">
        <v>159</v>
      </c>
      <c r="B85" s="13" t="s">
        <v>83</v>
      </c>
      <c r="C85" s="14" t="n">
        <v>46033.5416666667</v>
      </c>
      <c r="D85" s="14" t="n">
        <v>46037.3333333333</v>
      </c>
      <c r="E85" s="15"/>
      <c r="F85" s="13" t="s">
        <v>40</v>
      </c>
      <c r="G85" s="13" t="s">
        <v>66</v>
      </c>
      <c r="H85" s="13" t="s">
        <v>42</v>
      </c>
      <c r="I85" s="13" t="s">
        <v>53</v>
      </c>
      <c r="J85" s="13" t="s">
        <v>71</v>
      </c>
      <c r="K85" s="13" t="s">
        <v>45</v>
      </c>
      <c r="L85" s="13" t="s">
        <v>60</v>
      </c>
      <c r="M85" s="13"/>
      <c r="N85" s="13"/>
      <c r="O85" s="13"/>
      <c r="P85" s="16"/>
      <c r="Q85" s="17"/>
      <c r="R85" s="13"/>
      <c r="S85" s="14"/>
      <c r="T85" s="13" t="str">
        <f aca="false">TEXT(D85,"mmm yyyy")</f>
        <v>Jan 2026</v>
      </c>
      <c r="U85" s="13" t="str">
        <f aca="false">TEXT(D85,"ddd")</f>
        <v>Thu</v>
      </c>
      <c r="V85" s="13" t="n">
        <f aca="false">INT(D85)-INT(C85)</f>
        <v>4</v>
      </c>
      <c r="W85" s="13" t="str">
        <f aca="false">IF(M85="","No","Yes")</f>
        <v>No</v>
      </c>
      <c r="X85" s="13" t="str">
        <f aca="false">IF(AND(W85="Yes",S85&lt;&gt;""),ROUND((S85-C85)*24,1),"")</f>
        <v/>
      </c>
      <c r="Y85" s="13" t="str">
        <f aca="false">IF(X85="","N/A",IF(X85&lt;=12,"Yes","No"))</f>
        <v>N/A</v>
      </c>
      <c r="Z85" s="18" t="n">
        <f aca="true">IF(B85="Pending",TODAY()-INT(C85),"")</f>
        <v>241</v>
      </c>
    </row>
    <row r="86" customFormat="false" ht="15" hidden="false" customHeight="false" outlineLevel="0" collapsed="false">
      <c r="A86" s="13" t="s">
        <v>160</v>
      </c>
      <c r="B86" s="13" t="s">
        <v>39</v>
      </c>
      <c r="C86" s="14" t="n">
        <v>46035.4923611111</v>
      </c>
      <c r="D86" s="14" t="n">
        <v>46039.3958333333</v>
      </c>
      <c r="E86" s="15"/>
      <c r="F86" s="13" t="s">
        <v>58</v>
      </c>
      <c r="G86" s="13" t="s">
        <v>66</v>
      </c>
      <c r="H86" s="13" t="s">
        <v>53</v>
      </c>
      <c r="I86" s="13" t="s">
        <v>78</v>
      </c>
      <c r="J86" s="13" t="s">
        <v>44</v>
      </c>
      <c r="K86" s="13" t="s">
        <v>45</v>
      </c>
      <c r="L86" s="13" t="s">
        <v>60</v>
      </c>
      <c r="M86" s="13" t="s">
        <v>54</v>
      </c>
      <c r="N86" s="13" t="s">
        <v>79</v>
      </c>
      <c r="O86" s="13" t="s">
        <v>80</v>
      </c>
      <c r="P86" s="16"/>
      <c r="Q86" s="17"/>
      <c r="R86" s="13" t="s">
        <v>50</v>
      </c>
      <c r="S86" s="14" t="n">
        <v>46036.3715277778</v>
      </c>
      <c r="T86" s="13" t="str">
        <f aca="false">TEXT(D86,"mmm yyyy")</f>
        <v>Jan 2026</v>
      </c>
      <c r="U86" s="13" t="str">
        <f aca="false">TEXT(D86,"ddd")</f>
        <v>Sat</v>
      </c>
      <c r="V86" s="13" t="n">
        <f aca="false">INT(D86)-INT(C86)</f>
        <v>4</v>
      </c>
      <c r="W86" s="13" t="str">
        <f aca="false">IF(M86="","No","Yes")</f>
        <v>Yes</v>
      </c>
      <c r="X86" s="13" t="n">
        <f aca="false">IF(AND(W86="Yes",S86&lt;&gt;""),ROUND((S86-C86)*24,1),"")</f>
        <v>21.1</v>
      </c>
      <c r="Y86" s="13" t="str">
        <f aca="false">IF(X86="","N/A",IF(X86&lt;=12,"Yes","No"))</f>
        <v>No</v>
      </c>
      <c r="Z86" s="13" t="str">
        <f aca="true">IF(B86="Pending",TODAY()-INT(C86),"")</f>
        <v/>
      </c>
    </row>
    <row r="87" customFormat="false" ht="15" hidden="false" customHeight="false" outlineLevel="0" collapsed="false">
      <c r="A87" s="13" t="s">
        <v>161</v>
      </c>
      <c r="B87" s="13" t="s">
        <v>65</v>
      </c>
      <c r="C87" s="14" t="n">
        <v>46035.6548611111</v>
      </c>
      <c r="D87" s="14" t="n">
        <v>46039.7291666667</v>
      </c>
      <c r="E87" s="15" t="n">
        <v>0.0416666666666667</v>
      </c>
      <c r="F87" s="13" t="s">
        <v>58</v>
      </c>
      <c r="G87" s="13" t="s">
        <v>66</v>
      </c>
      <c r="H87" s="13" t="s">
        <v>42</v>
      </c>
      <c r="I87" s="13" t="s">
        <v>43</v>
      </c>
      <c r="J87" s="13" t="s">
        <v>44</v>
      </c>
      <c r="K87" s="13" t="s">
        <v>45</v>
      </c>
      <c r="L87" s="13" t="s">
        <v>46</v>
      </c>
      <c r="M87" s="13"/>
      <c r="N87" s="13"/>
      <c r="O87" s="13"/>
      <c r="P87" s="16"/>
      <c r="Q87" s="17"/>
      <c r="R87" s="13" t="s">
        <v>50</v>
      </c>
      <c r="S87" s="14" t="n">
        <v>46036.0840277778</v>
      </c>
      <c r="T87" s="13" t="str">
        <f aca="false">TEXT(D87,"mmm yyyy")</f>
        <v>Jan 2026</v>
      </c>
      <c r="U87" s="13" t="str">
        <f aca="false">TEXT(D87,"ddd")</f>
        <v>Sat</v>
      </c>
      <c r="V87" s="13" t="n">
        <f aca="false">INT(D87)-INT(C87)</f>
        <v>4</v>
      </c>
      <c r="W87" s="13" t="str">
        <f aca="false">IF(M87="","No","Yes")</f>
        <v>No</v>
      </c>
      <c r="X87" s="13" t="str">
        <f aca="false">IF(AND(W87="Yes",S87&lt;&gt;""),ROUND((S87-C87)*24,1),"")</f>
        <v/>
      </c>
      <c r="Y87" s="13" t="str">
        <f aca="false">IF(X87="","N/A",IF(X87&lt;=12,"Yes","No"))</f>
        <v>N/A</v>
      </c>
      <c r="Z87" s="13" t="str">
        <f aca="true">IF(B87="Pending",TODAY()-INT(C87),"")</f>
        <v/>
      </c>
    </row>
    <row r="88" customFormat="false" ht="15" hidden="false" customHeight="false" outlineLevel="0" collapsed="false">
      <c r="A88" s="13" t="s">
        <v>162</v>
      </c>
      <c r="B88" s="13" t="s">
        <v>39</v>
      </c>
      <c r="C88" s="14" t="n">
        <v>46036.6069444444</v>
      </c>
      <c r="D88" s="14" t="n">
        <v>46040.2916666667</v>
      </c>
      <c r="E88" s="15" t="n">
        <v>0.708333333333333</v>
      </c>
      <c r="F88" s="13" t="s">
        <v>52</v>
      </c>
      <c r="G88" s="13" t="s">
        <v>41</v>
      </c>
      <c r="H88" s="13" t="s">
        <v>42</v>
      </c>
      <c r="I88" s="13" t="s">
        <v>43</v>
      </c>
      <c r="J88" s="13" t="s">
        <v>44</v>
      </c>
      <c r="K88" s="13" t="s">
        <v>45</v>
      </c>
      <c r="L88" s="13" t="s">
        <v>46</v>
      </c>
      <c r="M88" s="13" t="s">
        <v>61</v>
      </c>
      <c r="N88" s="13" t="s">
        <v>48</v>
      </c>
      <c r="O88" s="13" t="s">
        <v>49</v>
      </c>
      <c r="P88" s="16"/>
      <c r="Q88" s="17"/>
      <c r="R88" s="13" t="s">
        <v>50</v>
      </c>
      <c r="S88" s="14" t="n">
        <v>46036.9215277778</v>
      </c>
      <c r="T88" s="13" t="str">
        <f aca="false">TEXT(D88,"mmm yyyy")</f>
        <v>Jan 2026</v>
      </c>
      <c r="U88" s="13" t="str">
        <f aca="false">TEXT(D88,"ddd")</f>
        <v>Sun</v>
      </c>
      <c r="V88" s="13" t="n">
        <f aca="false">INT(D88)-INT(C88)</f>
        <v>4</v>
      </c>
      <c r="W88" s="13" t="str">
        <f aca="false">IF(M88="","No","Yes")</f>
        <v>Yes</v>
      </c>
      <c r="X88" s="13" t="n">
        <f aca="false">IF(AND(W88="Yes",S88&lt;&gt;""),ROUND((S88-C88)*24,1),"")</f>
        <v>7.6</v>
      </c>
      <c r="Y88" s="13" t="str">
        <f aca="false">IF(X88="","N/A",IF(X88&lt;=12,"Yes","No"))</f>
        <v>Yes</v>
      </c>
      <c r="Z88" s="13" t="str">
        <f aca="true">IF(B88="Pending",TODAY()-INT(C88),"")</f>
        <v/>
      </c>
    </row>
    <row r="89" customFormat="false" ht="15" hidden="false" customHeight="false" outlineLevel="0" collapsed="false">
      <c r="A89" s="13" t="s">
        <v>163</v>
      </c>
      <c r="B89" s="13" t="s">
        <v>39</v>
      </c>
      <c r="C89" s="14" t="n">
        <v>46040.6118055556</v>
      </c>
      <c r="D89" s="14" t="n">
        <v>46044.3958333333</v>
      </c>
      <c r="E89" s="15" t="n">
        <v>0.708333333333333</v>
      </c>
      <c r="F89" s="13" t="s">
        <v>52</v>
      </c>
      <c r="G89" s="13" t="s">
        <v>41</v>
      </c>
      <c r="H89" s="13" t="s">
        <v>42</v>
      </c>
      <c r="I89" s="13" t="s">
        <v>43</v>
      </c>
      <c r="J89" s="13" t="s">
        <v>44</v>
      </c>
      <c r="K89" s="13" t="s">
        <v>45</v>
      </c>
      <c r="L89" s="13" t="s">
        <v>46</v>
      </c>
      <c r="M89" s="13" t="s">
        <v>90</v>
      </c>
      <c r="N89" s="13" t="s">
        <v>48</v>
      </c>
      <c r="O89" s="13" t="s">
        <v>49</v>
      </c>
      <c r="P89" s="16"/>
      <c r="Q89" s="17"/>
      <c r="R89" s="13" t="s">
        <v>50</v>
      </c>
      <c r="S89" s="14" t="n">
        <v>46041.0173611111</v>
      </c>
      <c r="T89" s="13" t="str">
        <f aca="false">TEXT(D89,"mmm yyyy")</f>
        <v>Jan 2026</v>
      </c>
      <c r="U89" s="13" t="str">
        <f aca="false">TEXT(D89,"ddd")</f>
        <v>Thu</v>
      </c>
      <c r="V89" s="13" t="n">
        <f aca="false">INT(D89)-INT(C89)</f>
        <v>4</v>
      </c>
      <c r="W89" s="13" t="str">
        <f aca="false">IF(M89="","No","Yes")</f>
        <v>Yes</v>
      </c>
      <c r="X89" s="13" t="n">
        <f aca="false">IF(AND(W89="Yes",S89&lt;&gt;""),ROUND((S89-C89)*24,1),"")</f>
        <v>9.7</v>
      </c>
      <c r="Y89" s="13" t="str">
        <f aca="false">IF(X89="","N/A",IF(X89&lt;=12,"Yes","No"))</f>
        <v>Yes</v>
      </c>
      <c r="Z89" s="13" t="str">
        <f aca="true">IF(B89="Pending",TODAY()-INT(C89),"")</f>
        <v/>
      </c>
    </row>
    <row r="90" customFormat="false" ht="15" hidden="false" customHeight="false" outlineLevel="0" collapsed="false">
      <c r="A90" s="13" t="s">
        <v>164</v>
      </c>
      <c r="B90" s="13" t="s">
        <v>39</v>
      </c>
      <c r="C90" s="14" t="n">
        <v>46041.6118055556</v>
      </c>
      <c r="D90" s="14" t="n">
        <v>46045.2916666667</v>
      </c>
      <c r="E90" s="15"/>
      <c r="F90" s="13" t="s">
        <v>96</v>
      </c>
      <c r="G90" s="13" t="s">
        <v>66</v>
      </c>
      <c r="H90" s="13" t="s">
        <v>42</v>
      </c>
      <c r="I90" s="13" t="s">
        <v>67</v>
      </c>
      <c r="J90" s="13" t="s">
        <v>44</v>
      </c>
      <c r="K90" s="13" t="s">
        <v>45</v>
      </c>
      <c r="L90" s="13" t="s">
        <v>60</v>
      </c>
      <c r="M90" s="13" t="s">
        <v>90</v>
      </c>
      <c r="N90" s="13" t="s">
        <v>48</v>
      </c>
      <c r="O90" s="13" t="s">
        <v>49</v>
      </c>
      <c r="P90" s="16"/>
      <c r="Q90" s="17"/>
      <c r="R90" s="13" t="s">
        <v>50</v>
      </c>
      <c r="S90" s="14" t="n">
        <v>46042.0736111111</v>
      </c>
      <c r="T90" s="13" t="str">
        <f aca="false">TEXT(D90,"mmm yyyy")</f>
        <v>Jan 2026</v>
      </c>
      <c r="U90" s="13" t="str">
        <f aca="false">TEXT(D90,"ddd")</f>
        <v>Fri</v>
      </c>
      <c r="V90" s="13" t="n">
        <f aca="false">INT(D90)-INT(C90)</f>
        <v>4</v>
      </c>
      <c r="W90" s="13" t="str">
        <f aca="false">IF(M90="","No","Yes")</f>
        <v>Yes</v>
      </c>
      <c r="X90" s="13" t="n">
        <f aca="false">IF(AND(W90="Yes",S90&lt;&gt;""),ROUND((S90-C90)*24,1),"")</f>
        <v>11.1</v>
      </c>
      <c r="Y90" s="13" t="str">
        <f aca="false">IF(X90="","N/A",IF(X90&lt;=12,"Yes","No"))</f>
        <v>Yes</v>
      </c>
      <c r="Z90" s="13" t="str">
        <f aca="true">IF(B90="Pending",TODAY()-INT(C90),"")</f>
        <v/>
      </c>
    </row>
    <row r="91" customFormat="false" ht="15" hidden="false" customHeight="false" outlineLevel="0" collapsed="false">
      <c r="A91" s="13" t="s">
        <v>165</v>
      </c>
      <c r="B91" s="13" t="s">
        <v>39</v>
      </c>
      <c r="C91" s="14" t="n">
        <v>46042.6756944444</v>
      </c>
      <c r="D91" s="14" t="n">
        <v>46046.2708333333</v>
      </c>
      <c r="E91" s="15"/>
      <c r="F91" s="13" t="s">
        <v>73</v>
      </c>
      <c r="G91" s="13" t="s">
        <v>66</v>
      </c>
      <c r="H91" s="13" t="s">
        <v>42</v>
      </c>
      <c r="I91" s="13" t="s">
        <v>67</v>
      </c>
      <c r="J91" s="13" t="s">
        <v>44</v>
      </c>
      <c r="K91" s="13" t="s">
        <v>45</v>
      </c>
      <c r="L91" s="13" t="s">
        <v>60</v>
      </c>
      <c r="M91" s="13" t="s">
        <v>47</v>
      </c>
      <c r="N91" s="13" t="s">
        <v>79</v>
      </c>
      <c r="O91" s="13" t="s">
        <v>80</v>
      </c>
      <c r="P91" s="16"/>
      <c r="Q91" s="17"/>
      <c r="R91" s="13" t="s">
        <v>50</v>
      </c>
      <c r="S91" s="14" t="n">
        <v>46043.0444444444</v>
      </c>
      <c r="T91" s="13" t="str">
        <f aca="false">TEXT(D91,"mmm yyyy")</f>
        <v>Jan 2026</v>
      </c>
      <c r="U91" s="13" t="str">
        <f aca="false">TEXT(D91,"ddd")</f>
        <v>Sat</v>
      </c>
      <c r="V91" s="13" t="n">
        <f aca="false">INT(D91)-INT(C91)</f>
        <v>4</v>
      </c>
      <c r="W91" s="13" t="str">
        <f aca="false">IF(M91="","No","Yes")</f>
        <v>Yes</v>
      </c>
      <c r="X91" s="13" t="n">
        <f aca="false">IF(AND(W91="Yes",S91&lt;&gt;""),ROUND((S91-C91)*24,1),"")</f>
        <v>8.9</v>
      </c>
      <c r="Y91" s="13" t="str">
        <f aca="false">IF(X91="","N/A",IF(X91&lt;=12,"Yes","No"))</f>
        <v>Yes</v>
      </c>
      <c r="Z91" s="13" t="str">
        <f aca="true">IF(B91="Pending",TODAY()-INT(C91),"")</f>
        <v/>
      </c>
    </row>
    <row r="92" customFormat="false" ht="15" hidden="false" customHeight="false" outlineLevel="0" collapsed="false">
      <c r="A92" s="13" t="s">
        <v>166</v>
      </c>
      <c r="B92" s="13" t="s">
        <v>83</v>
      </c>
      <c r="C92" s="14" t="n">
        <v>46043.70625</v>
      </c>
      <c r="D92" s="14" t="n">
        <v>46047.2708333333</v>
      </c>
      <c r="E92" s="15"/>
      <c r="F92" s="13" t="s">
        <v>73</v>
      </c>
      <c r="G92" s="13" t="s">
        <v>41</v>
      </c>
      <c r="H92" s="13" t="s">
        <v>53</v>
      </c>
      <c r="I92" s="13" t="s">
        <v>78</v>
      </c>
      <c r="J92" s="13" t="s">
        <v>131</v>
      </c>
      <c r="K92" s="13" t="s">
        <v>45</v>
      </c>
      <c r="L92" s="13" t="s">
        <v>60</v>
      </c>
      <c r="M92" s="13"/>
      <c r="N92" s="13"/>
      <c r="O92" s="13"/>
      <c r="P92" s="16"/>
      <c r="Q92" s="17"/>
      <c r="R92" s="13"/>
      <c r="S92" s="14"/>
      <c r="T92" s="13" t="str">
        <f aca="false">TEXT(D92,"mmm yyyy")</f>
        <v>Jan 2026</v>
      </c>
      <c r="U92" s="13" t="str">
        <f aca="false">TEXT(D92,"ddd")</f>
        <v>Sun</v>
      </c>
      <c r="V92" s="13" t="n">
        <f aca="false">INT(D92)-INT(C92)</f>
        <v>4</v>
      </c>
      <c r="W92" s="13" t="str">
        <f aca="false">IF(M92="","No","Yes")</f>
        <v>No</v>
      </c>
      <c r="X92" s="13" t="str">
        <f aca="false">IF(AND(W92="Yes",S92&lt;&gt;""),ROUND((S92-C92)*24,1),"")</f>
        <v/>
      </c>
      <c r="Y92" s="13" t="str">
        <f aca="false">IF(X92="","N/A",IF(X92&lt;=12,"Yes","No"))</f>
        <v>N/A</v>
      </c>
      <c r="Z92" s="18" t="n">
        <f aca="true">IF(B92="Pending",TODAY()-INT(C92),"")</f>
        <v>231</v>
      </c>
    </row>
    <row r="93" customFormat="false" ht="15" hidden="false" customHeight="false" outlineLevel="0" collapsed="false">
      <c r="A93" s="13" t="s">
        <v>167</v>
      </c>
      <c r="B93" s="13" t="s">
        <v>65</v>
      </c>
      <c r="C93" s="14" t="n">
        <v>46043.4333333333</v>
      </c>
      <c r="D93" s="14" t="n">
        <v>46047.5416666667</v>
      </c>
      <c r="E93" s="15"/>
      <c r="F93" s="13" t="s">
        <v>73</v>
      </c>
      <c r="G93" s="13" t="s">
        <v>41</v>
      </c>
      <c r="H93" s="13" t="s">
        <v>42</v>
      </c>
      <c r="I93" s="13" t="s">
        <v>53</v>
      </c>
      <c r="J93" s="13" t="s">
        <v>131</v>
      </c>
      <c r="K93" s="13" t="s">
        <v>45</v>
      </c>
      <c r="L93" s="13" t="s">
        <v>60</v>
      </c>
      <c r="M93" s="13"/>
      <c r="N93" s="13"/>
      <c r="O93" s="13"/>
      <c r="P93" s="16"/>
      <c r="Q93" s="17"/>
      <c r="R93" s="13" t="s">
        <v>50</v>
      </c>
      <c r="S93" s="14" t="n">
        <v>46043.6472222222</v>
      </c>
      <c r="T93" s="13" t="str">
        <f aca="false">TEXT(D93,"mmm yyyy")</f>
        <v>Jan 2026</v>
      </c>
      <c r="U93" s="13" t="str">
        <f aca="false">TEXT(D93,"ddd")</f>
        <v>Sun</v>
      </c>
      <c r="V93" s="13" t="n">
        <f aca="false">INT(D93)-INT(C93)</f>
        <v>4</v>
      </c>
      <c r="W93" s="13" t="str">
        <f aca="false">IF(M93="","No","Yes")</f>
        <v>No</v>
      </c>
      <c r="X93" s="13" t="str">
        <f aca="false">IF(AND(W93="Yes",S93&lt;&gt;""),ROUND((S93-C93)*24,1),"")</f>
        <v/>
      </c>
      <c r="Y93" s="13" t="str">
        <f aca="false">IF(X93="","N/A",IF(X93&lt;=12,"Yes","No"))</f>
        <v>N/A</v>
      </c>
      <c r="Z93" s="13" t="str">
        <f aca="true">IF(B93="Pending",TODAY()-INT(C93),"")</f>
        <v/>
      </c>
    </row>
    <row r="94" customFormat="false" ht="15" hidden="false" customHeight="false" outlineLevel="0" collapsed="false">
      <c r="A94" s="13" t="s">
        <v>168</v>
      </c>
      <c r="B94" s="13" t="s">
        <v>39</v>
      </c>
      <c r="C94" s="14" t="n">
        <v>46045.4131944445</v>
      </c>
      <c r="D94" s="14" t="n">
        <v>46049.2708333333</v>
      </c>
      <c r="E94" s="15" t="n">
        <v>0.708333333333333</v>
      </c>
      <c r="F94" s="13" t="s">
        <v>40</v>
      </c>
      <c r="G94" s="13" t="s">
        <v>66</v>
      </c>
      <c r="H94" s="13" t="s">
        <v>53</v>
      </c>
      <c r="I94" s="13" t="s">
        <v>43</v>
      </c>
      <c r="J94" s="13" t="s">
        <v>44</v>
      </c>
      <c r="K94" s="13" t="s">
        <v>45</v>
      </c>
      <c r="L94" s="13" t="s">
        <v>46</v>
      </c>
      <c r="M94" s="13" t="s">
        <v>61</v>
      </c>
      <c r="N94" s="13" t="s">
        <v>48</v>
      </c>
      <c r="O94" s="13" t="s">
        <v>49</v>
      </c>
      <c r="P94" s="16"/>
      <c r="Q94" s="17"/>
      <c r="R94" s="13" t="s">
        <v>50</v>
      </c>
      <c r="S94" s="14" t="n">
        <v>46045.5784722222</v>
      </c>
      <c r="T94" s="13" t="str">
        <f aca="false">TEXT(D94,"mmm yyyy")</f>
        <v>Jan 2026</v>
      </c>
      <c r="U94" s="13" t="str">
        <f aca="false">TEXT(D94,"ddd")</f>
        <v>Tue</v>
      </c>
      <c r="V94" s="13" t="n">
        <f aca="false">INT(D94)-INT(C94)</f>
        <v>4</v>
      </c>
      <c r="W94" s="13" t="str">
        <f aca="false">IF(M94="","No","Yes")</f>
        <v>Yes</v>
      </c>
      <c r="X94" s="13" t="n">
        <f aca="false">IF(AND(W94="Yes",S94&lt;&gt;""),ROUND((S94-C94)*24,1),"")</f>
        <v>4</v>
      </c>
      <c r="Y94" s="13" t="str">
        <f aca="false">IF(X94="","N/A",IF(X94&lt;=12,"Yes","No"))</f>
        <v>Yes</v>
      </c>
      <c r="Z94" s="13" t="str">
        <f aca="true">IF(B94="Pending",TODAY()-INT(C94),"")</f>
        <v/>
      </c>
    </row>
    <row r="95" customFormat="false" ht="15" hidden="false" customHeight="false" outlineLevel="0" collapsed="false">
      <c r="A95" s="13" t="s">
        <v>169</v>
      </c>
      <c r="B95" s="13" t="s">
        <v>39</v>
      </c>
      <c r="C95" s="14" t="n">
        <v>46045.6833333333</v>
      </c>
      <c r="D95" s="14" t="n">
        <v>46049.3333333333</v>
      </c>
      <c r="E95" s="15"/>
      <c r="F95" s="13" t="s">
        <v>52</v>
      </c>
      <c r="G95" s="13" t="s">
        <v>66</v>
      </c>
      <c r="H95" s="13" t="s">
        <v>53</v>
      </c>
      <c r="I95" s="13" t="s">
        <v>42</v>
      </c>
      <c r="J95" s="13" t="s">
        <v>59</v>
      </c>
      <c r="K95" s="13" t="s">
        <v>45</v>
      </c>
      <c r="L95" s="13" t="s">
        <v>60</v>
      </c>
      <c r="M95" s="13" t="s">
        <v>61</v>
      </c>
      <c r="N95" s="13" t="s">
        <v>55</v>
      </c>
      <c r="O95" s="13" t="s">
        <v>56</v>
      </c>
      <c r="P95" s="16"/>
      <c r="Q95" s="17"/>
      <c r="R95" s="13" t="s">
        <v>50</v>
      </c>
      <c r="S95" s="14" t="n">
        <v>46045.90625</v>
      </c>
      <c r="T95" s="13" t="str">
        <f aca="false">TEXT(D95,"mmm yyyy")</f>
        <v>Jan 2026</v>
      </c>
      <c r="U95" s="13" t="str">
        <f aca="false">TEXT(D95,"ddd")</f>
        <v>Tue</v>
      </c>
      <c r="V95" s="13" t="n">
        <f aca="false">INT(D95)-INT(C95)</f>
        <v>4</v>
      </c>
      <c r="W95" s="13" t="str">
        <f aca="false">IF(M95="","No","Yes")</f>
        <v>Yes</v>
      </c>
      <c r="X95" s="13" t="n">
        <f aca="false">IF(AND(W95="Yes",S95&lt;&gt;""),ROUND((S95-C95)*24,1),"")</f>
        <v>5.4</v>
      </c>
      <c r="Y95" s="13" t="str">
        <f aca="false">IF(X95="","N/A",IF(X95&lt;=12,"Yes","No"))</f>
        <v>Yes</v>
      </c>
      <c r="Z95" s="13" t="str">
        <f aca="true">IF(B95="Pending",TODAY()-INT(C95),"")</f>
        <v/>
      </c>
    </row>
    <row r="96" customFormat="false" ht="15" hidden="false" customHeight="false" outlineLevel="0" collapsed="false">
      <c r="A96" s="13" t="s">
        <v>170</v>
      </c>
      <c r="B96" s="13" t="s">
        <v>39</v>
      </c>
      <c r="C96" s="14" t="n">
        <v>46047.5125</v>
      </c>
      <c r="D96" s="14" t="n">
        <v>46050.5416666667</v>
      </c>
      <c r="E96" s="15"/>
      <c r="F96" s="13" t="s">
        <v>73</v>
      </c>
      <c r="G96" s="13" t="s">
        <v>66</v>
      </c>
      <c r="H96" s="13" t="s">
        <v>42</v>
      </c>
      <c r="I96" s="13" t="s">
        <v>67</v>
      </c>
      <c r="J96" s="13" t="s">
        <v>59</v>
      </c>
      <c r="K96" s="13" t="s">
        <v>45</v>
      </c>
      <c r="L96" s="13" t="s">
        <v>60</v>
      </c>
      <c r="M96" s="13" t="s">
        <v>54</v>
      </c>
      <c r="N96" s="13" t="s">
        <v>48</v>
      </c>
      <c r="O96" s="13" t="s">
        <v>49</v>
      </c>
      <c r="P96" s="16"/>
      <c r="Q96" s="17"/>
      <c r="R96" s="13" t="s">
        <v>50</v>
      </c>
      <c r="S96" s="14" t="n">
        <v>46048.2888888889</v>
      </c>
      <c r="T96" s="13" t="str">
        <f aca="false">TEXT(D96,"mmm yyyy")</f>
        <v>Jan 2026</v>
      </c>
      <c r="U96" s="13" t="str">
        <f aca="false">TEXT(D96,"ddd")</f>
        <v>Wed</v>
      </c>
      <c r="V96" s="13" t="n">
        <f aca="false">INT(D96)-INT(C96)</f>
        <v>3</v>
      </c>
      <c r="W96" s="13" t="str">
        <f aca="false">IF(M96="","No","Yes")</f>
        <v>Yes</v>
      </c>
      <c r="X96" s="13" t="n">
        <f aca="false">IF(AND(W96="Yes",S96&lt;&gt;""),ROUND((S96-C96)*24,1),"")</f>
        <v>18.6</v>
      </c>
      <c r="Y96" s="13" t="str">
        <f aca="false">IF(X96="","N/A",IF(X96&lt;=12,"Yes","No"))</f>
        <v>No</v>
      </c>
      <c r="Z96" s="13" t="str">
        <f aca="true">IF(B96="Pending",TODAY()-INT(C96),"")</f>
        <v/>
      </c>
    </row>
    <row r="97" customFormat="false" ht="15" hidden="false" customHeight="false" outlineLevel="0" collapsed="false">
      <c r="A97" s="13" t="s">
        <v>171</v>
      </c>
      <c r="B97" s="13" t="s">
        <v>65</v>
      </c>
      <c r="C97" s="14" t="n">
        <v>46056.5569444444</v>
      </c>
      <c r="D97" s="14" t="n">
        <v>46060.3958333333</v>
      </c>
      <c r="E97" s="15" t="n">
        <v>0.708333333333333</v>
      </c>
      <c r="F97" s="13" t="s">
        <v>73</v>
      </c>
      <c r="G97" s="13" t="s">
        <v>41</v>
      </c>
      <c r="H97" s="13" t="s">
        <v>53</v>
      </c>
      <c r="I97" s="13" t="s">
        <v>43</v>
      </c>
      <c r="J97" s="13" t="s">
        <v>44</v>
      </c>
      <c r="K97" s="13" t="s">
        <v>45</v>
      </c>
      <c r="L97" s="13" t="s">
        <v>46</v>
      </c>
      <c r="M97" s="13"/>
      <c r="N97" s="13"/>
      <c r="O97" s="13"/>
      <c r="P97" s="16"/>
      <c r="Q97" s="17"/>
      <c r="R97" s="13" t="s">
        <v>50</v>
      </c>
      <c r="S97" s="14" t="n">
        <v>46056.6291666667</v>
      </c>
      <c r="T97" s="13" t="str">
        <f aca="false">TEXT(D97,"mmm yyyy")</f>
        <v>Feb 2026</v>
      </c>
      <c r="U97" s="13" t="str">
        <f aca="false">TEXT(D97,"ddd")</f>
        <v>Sat</v>
      </c>
      <c r="V97" s="13" t="n">
        <f aca="false">INT(D97)-INT(C97)</f>
        <v>4</v>
      </c>
      <c r="W97" s="13" t="str">
        <f aca="false">IF(M97="","No","Yes")</f>
        <v>No</v>
      </c>
      <c r="X97" s="13" t="str">
        <f aca="false">IF(AND(W97="Yes",S97&lt;&gt;""),ROUND((S97-C97)*24,1),"")</f>
        <v/>
      </c>
      <c r="Y97" s="13" t="str">
        <f aca="false">IF(X97="","N/A",IF(X97&lt;=12,"Yes","No"))</f>
        <v>N/A</v>
      </c>
      <c r="Z97" s="13" t="str">
        <f aca="true">IF(B97="Pending",TODAY()-INT(C97),"")</f>
        <v/>
      </c>
    </row>
    <row r="98" customFormat="false" ht="15" hidden="false" customHeight="false" outlineLevel="0" collapsed="false">
      <c r="A98" s="13" t="s">
        <v>172</v>
      </c>
      <c r="B98" s="13" t="s">
        <v>39</v>
      </c>
      <c r="C98" s="14" t="n">
        <v>46057.66875</v>
      </c>
      <c r="D98" s="14" t="n">
        <v>46061.2708333333</v>
      </c>
      <c r="E98" s="15"/>
      <c r="F98" s="13" t="s">
        <v>58</v>
      </c>
      <c r="G98" s="13" t="s">
        <v>41</v>
      </c>
      <c r="H98" s="13" t="s">
        <v>42</v>
      </c>
      <c r="I98" s="13" t="s">
        <v>67</v>
      </c>
      <c r="J98" s="13" t="s">
        <v>71</v>
      </c>
      <c r="K98" s="13" t="s">
        <v>45</v>
      </c>
      <c r="L98" s="13" t="s">
        <v>60</v>
      </c>
      <c r="M98" s="13" t="s">
        <v>47</v>
      </c>
      <c r="N98" s="13" t="s">
        <v>55</v>
      </c>
      <c r="O98" s="13" t="s">
        <v>56</v>
      </c>
      <c r="P98" s="16"/>
      <c r="Q98" s="17"/>
      <c r="R98" s="13" t="s">
        <v>50</v>
      </c>
      <c r="S98" s="14" t="n">
        <v>46058.0486111111</v>
      </c>
      <c r="T98" s="13" t="str">
        <f aca="false">TEXT(D98,"mmm yyyy")</f>
        <v>Feb 2026</v>
      </c>
      <c r="U98" s="13" t="str">
        <f aca="false">TEXT(D98,"ddd")</f>
        <v>Sun</v>
      </c>
      <c r="V98" s="13" t="n">
        <f aca="false">INT(D98)-INT(C98)</f>
        <v>4</v>
      </c>
      <c r="W98" s="13" t="str">
        <f aca="false">IF(M98="","No","Yes")</f>
        <v>Yes</v>
      </c>
      <c r="X98" s="13" t="n">
        <f aca="false">IF(AND(W98="Yes",S98&lt;&gt;""),ROUND((S98-C98)*24,1),"")</f>
        <v>9.1</v>
      </c>
      <c r="Y98" s="13" t="str">
        <f aca="false">IF(X98="","N/A",IF(X98&lt;=12,"Yes","No"))</f>
        <v>Yes</v>
      </c>
      <c r="Z98" s="13" t="str">
        <f aca="true">IF(B98="Pending",TODAY()-INT(C98),"")</f>
        <v/>
      </c>
    </row>
    <row r="99" customFormat="false" ht="15" hidden="false" customHeight="false" outlineLevel="0" collapsed="false">
      <c r="A99" s="13" t="s">
        <v>173</v>
      </c>
      <c r="B99" s="13" t="s">
        <v>69</v>
      </c>
      <c r="C99" s="14" t="n">
        <v>46058.3881944444</v>
      </c>
      <c r="D99" s="14" t="n">
        <v>46062.2708333333</v>
      </c>
      <c r="E99" s="15"/>
      <c r="F99" s="13" t="s">
        <v>88</v>
      </c>
      <c r="G99" s="13" t="s">
        <v>41</v>
      </c>
      <c r="H99" s="13" t="s">
        <v>53</v>
      </c>
      <c r="I99" s="13" t="s">
        <v>42</v>
      </c>
      <c r="J99" s="13" t="s">
        <v>59</v>
      </c>
      <c r="K99" s="13" t="s">
        <v>45</v>
      </c>
      <c r="L99" s="13" t="s">
        <v>60</v>
      </c>
      <c r="M99" s="13"/>
      <c r="N99" s="13"/>
      <c r="O99" s="13"/>
      <c r="P99" s="16"/>
      <c r="Q99" s="17"/>
      <c r="R99" s="13" t="s">
        <v>50</v>
      </c>
      <c r="S99" s="14" t="n">
        <v>46058.4618055556</v>
      </c>
      <c r="T99" s="13" t="str">
        <f aca="false">TEXT(D99,"mmm yyyy")</f>
        <v>Feb 2026</v>
      </c>
      <c r="U99" s="13" t="str">
        <f aca="false">TEXT(D99,"ddd")</f>
        <v>Mon</v>
      </c>
      <c r="V99" s="13" t="n">
        <f aca="false">INT(D99)-INT(C99)</f>
        <v>4</v>
      </c>
      <c r="W99" s="13" t="str">
        <f aca="false">IF(M99="","No","Yes")</f>
        <v>No</v>
      </c>
      <c r="X99" s="13" t="str">
        <f aca="false">IF(AND(W99="Yes",S99&lt;&gt;""),ROUND((S99-C99)*24,1),"")</f>
        <v/>
      </c>
      <c r="Y99" s="13" t="str">
        <f aca="false">IF(X99="","N/A",IF(X99&lt;=12,"Yes","No"))</f>
        <v>N/A</v>
      </c>
      <c r="Z99" s="13" t="str">
        <f aca="true">IF(B99="Pending",TODAY()-INT(C99),"")</f>
        <v/>
      </c>
    </row>
    <row r="100" customFormat="false" ht="15" hidden="false" customHeight="false" outlineLevel="0" collapsed="false">
      <c r="A100" s="13" t="s">
        <v>174</v>
      </c>
      <c r="B100" s="13" t="s">
        <v>39</v>
      </c>
      <c r="C100" s="14" t="n">
        <v>46060.4701388889</v>
      </c>
      <c r="D100" s="14" t="n">
        <v>46064.2708333333</v>
      </c>
      <c r="E100" s="15"/>
      <c r="F100" s="13" t="s">
        <v>96</v>
      </c>
      <c r="G100" s="13" t="s">
        <v>66</v>
      </c>
      <c r="H100" s="13" t="s">
        <v>42</v>
      </c>
      <c r="I100" s="13" t="s">
        <v>53</v>
      </c>
      <c r="J100" s="13" t="s">
        <v>131</v>
      </c>
      <c r="K100" s="13" t="s">
        <v>45</v>
      </c>
      <c r="L100" s="13" t="s">
        <v>60</v>
      </c>
      <c r="M100" s="13" t="s">
        <v>61</v>
      </c>
      <c r="N100" s="13" t="s">
        <v>55</v>
      </c>
      <c r="O100" s="13" t="s">
        <v>56</v>
      </c>
      <c r="P100" s="16"/>
      <c r="Q100" s="17"/>
      <c r="R100" s="13" t="s">
        <v>50</v>
      </c>
      <c r="S100" s="14" t="n">
        <v>46060.6256944445</v>
      </c>
      <c r="T100" s="13" t="str">
        <f aca="false">TEXT(D100,"mmm yyyy")</f>
        <v>Feb 2026</v>
      </c>
      <c r="U100" s="13" t="str">
        <f aca="false">TEXT(D100,"ddd")</f>
        <v>Wed</v>
      </c>
      <c r="V100" s="13" t="n">
        <f aca="false">INT(D100)-INT(C100)</f>
        <v>4</v>
      </c>
      <c r="W100" s="13" t="str">
        <f aca="false">IF(M100="","No","Yes")</f>
        <v>Yes</v>
      </c>
      <c r="X100" s="13" t="n">
        <f aca="false">IF(AND(W100="Yes",S100&lt;&gt;""),ROUND((S100-C100)*24,1),"")</f>
        <v>3.7</v>
      </c>
      <c r="Y100" s="13" t="str">
        <f aca="false">IF(X100="","N/A",IF(X100&lt;=12,"Yes","No"))</f>
        <v>Yes</v>
      </c>
      <c r="Z100" s="13" t="str">
        <f aca="true">IF(B100="Pending",TODAY()-INT(C100),"")</f>
        <v/>
      </c>
    </row>
    <row r="101" customFormat="false" ht="15" hidden="false" customHeight="false" outlineLevel="0" collapsed="false">
      <c r="A101" s="13" t="s">
        <v>175</v>
      </c>
      <c r="B101" s="13" t="s">
        <v>65</v>
      </c>
      <c r="C101" s="14" t="n">
        <v>46060.6298611111</v>
      </c>
      <c r="D101" s="14" t="n">
        <v>46064.5416666667</v>
      </c>
      <c r="E101" s="15"/>
      <c r="F101" s="13" t="s">
        <v>40</v>
      </c>
      <c r="G101" s="13" t="s">
        <v>41</v>
      </c>
      <c r="H101" s="13" t="s">
        <v>42</v>
      </c>
      <c r="I101" s="13" t="s">
        <v>67</v>
      </c>
      <c r="J101" s="13" t="s">
        <v>131</v>
      </c>
      <c r="K101" s="13" t="s">
        <v>45</v>
      </c>
      <c r="L101" s="13" t="s">
        <v>60</v>
      </c>
      <c r="M101" s="13"/>
      <c r="N101" s="13"/>
      <c r="O101" s="13"/>
      <c r="P101" s="16"/>
      <c r="Q101" s="17"/>
      <c r="R101" s="13" t="s">
        <v>50</v>
      </c>
      <c r="S101" s="14" t="n">
        <v>46061.2944444444</v>
      </c>
      <c r="T101" s="13" t="str">
        <f aca="false">TEXT(D101,"mmm yyyy")</f>
        <v>Feb 2026</v>
      </c>
      <c r="U101" s="13" t="str">
        <f aca="false">TEXT(D101,"ddd")</f>
        <v>Wed</v>
      </c>
      <c r="V101" s="13" t="n">
        <f aca="false">INT(D101)-INT(C101)</f>
        <v>4</v>
      </c>
      <c r="W101" s="13" t="str">
        <f aca="false">IF(M101="","No","Yes")</f>
        <v>No</v>
      </c>
      <c r="X101" s="13" t="str">
        <f aca="false">IF(AND(W101="Yes",S101&lt;&gt;""),ROUND((S101-C101)*24,1),"")</f>
        <v/>
      </c>
      <c r="Y101" s="13" t="str">
        <f aca="false">IF(X101="","N/A",IF(X101&lt;=12,"Yes","No"))</f>
        <v>N/A</v>
      </c>
      <c r="Z101" s="13" t="str">
        <f aca="true">IF(B101="Pending",TODAY()-INT(C101),"")</f>
        <v/>
      </c>
    </row>
    <row r="102" customFormat="false" ht="15" hidden="false" customHeight="false" outlineLevel="0" collapsed="false">
      <c r="A102" s="13" t="s">
        <v>176</v>
      </c>
      <c r="B102" s="13" t="s">
        <v>39</v>
      </c>
      <c r="C102" s="14" t="n">
        <v>46062.5138888889</v>
      </c>
      <c r="D102" s="14" t="n">
        <v>46066.2708333333</v>
      </c>
      <c r="E102" s="15"/>
      <c r="F102" s="13" t="s">
        <v>96</v>
      </c>
      <c r="G102" s="13" t="s">
        <v>66</v>
      </c>
      <c r="H102" s="13" t="s">
        <v>53</v>
      </c>
      <c r="I102" s="13" t="s">
        <v>42</v>
      </c>
      <c r="J102" s="13" t="s">
        <v>71</v>
      </c>
      <c r="K102" s="13" t="s">
        <v>45</v>
      </c>
      <c r="L102" s="13" t="s">
        <v>60</v>
      </c>
      <c r="M102" s="13" t="s">
        <v>54</v>
      </c>
      <c r="N102" s="13" t="s">
        <v>79</v>
      </c>
      <c r="O102" s="13" t="s">
        <v>80</v>
      </c>
      <c r="P102" s="16"/>
      <c r="Q102" s="17"/>
      <c r="R102" s="13" t="s">
        <v>50</v>
      </c>
      <c r="S102" s="14" t="n">
        <v>46062.5666666667</v>
      </c>
      <c r="T102" s="13" t="str">
        <f aca="false">TEXT(D102,"mmm yyyy")</f>
        <v>Feb 2026</v>
      </c>
      <c r="U102" s="13" t="str">
        <f aca="false">TEXT(D102,"ddd")</f>
        <v>Fri</v>
      </c>
      <c r="V102" s="13" t="n">
        <f aca="false">INT(D102)-INT(C102)</f>
        <v>4</v>
      </c>
      <c r="W102" s="13" t="str">
        <f aca="false">IF(M102="","No","Yes")</f>
        <v>Yes</v>
      </c>
      <c r="X102" s="13" t="n">
        <f aca="false">IF(AND(W102="Yes",S102&lt;&gt;""),ROUND((S102-C102)*24,1),"")</f>
        <v>1.3</v>
      </c>
      <c r="Y102" s="13" t="str">
        <f aca="false">IF(X102="","N/A",IF(X102&lt;=12,"Yes","No"))</f>
        <v>Yes</v>
      </c>
      <c r="Z102" s="13" t="str">
        <f aca="true">IF(B102="Pending",TODAY()-INT(C102),"")</f>
        <v/>
      </c>
    </row>
    <row r="103" customFormat="false" ht="15" hidden="false" customHeight="false" outlineLevel="0" collapsed="false">
      <c r="A103" s="13" t="s">
        <v>177</v>
      </c>
      <c r="B103" s="13" t="s">
        <v>39</v>
      </c>
      <c r="C103" s="14" t="n">
        <v>46062.6611111111</v>
      </c>
      <c r="D103" s="14" t="n">
        <v>46066.2916666667</v>
      </c>
      <c r="E103" s="15"/>
      <c r="F103" s="13" t="s">
        <v>88</v>
      </c>
      <c r="G103" s="13" t="s">
        <v>66</v>
      </c>
      <c r="H103" s="13" t="s">
        <v>42</v>
      </c>
      <c r="I103" s="13" t="s">
        <v>67</v>
      </c>
      <c r="J103" s="13" t="s">
        <v>59</v>
      </c>
      <c r="K103" s="13" t="s">
        <v>45</v>
      </c>
      <c r="L103" s="13" t="s">
        <v>60</v>
      </c>
      <c r="M103" s="13" t="s">
        <v>47</v>
      </c>
      <c r="N103" s="13" t="s">
        <v>62</v>
      </c>
      <c r="O103" s="13" t="s">
        <v>63</v>
      </c>
      <c r="P103" s="16"/>
      <c r="Q103" s="17"/>
      <c r="R103" s="13" t="s">
        <v>50</v>
      </c>
      <c r="S103" s="14" t="n">
        <v>46063.2270833333</v>
      </c>
      <c r="T103" s="13" t="str">
        <f aca="false">TEXT(D103,"mmm yyyy")</f>
        <v>Feb 2026</v>
      </c>
      <c r="U103" s="13" t="str">
        <f aca="false">TEXT(D103,"ddd")</f>
        <v>Fri</v>
      </c>
      <c r="V103" s="13" t="n">
        <f aca="false">INT(D103)-INT(C103)</f>
        <v>4</v>
      </c>
      <c r="W103" s="13" t="str">
        <f aca="false">IF(M103="","No","Yes")</f>
        <v>Yes</v>
      </c>
      <c r="X103" s="13" t="n">
        <f aca="false">IF(AND(W103="Yes",S103&lt;&gt;""),ROUND((S103-C103)*24,1),"")</f>
        <v>13.6</v>
      </c>
      <c r="Y103" s="13" t="str">
        <f aca="false">IF(X103="","N/A",IF(X103&lt;=12,"Yes","No"))</f>
        <v>No</v>
      </c>
      <c r="Z103" s="13" t="str">
        <f aca="true">IF(B103="Pending",TODAY()-INT(C103),"")</f>
        <v/>
      </c>
    </row>
    <row r="104" customFormat="false" ht="15" hidden="false" customHeight="false" outlineLevel="0" collapsed="false">
      <c r="A104" s="13" t="s">
        <v>178</v>
      </c>
      <c r="B104" s="13" t="s">
        <v>69</v>
      </c>
      <c r="C104" s="14" t="n">
        <v>46062.5402777778</v>
      </c>
      <c r="D104" s="14" t="n">
        <v>46066.2916666667</v>
      </c>
      <c r="E104" s="15"/>
      <c r="F104" s="13" t="s">
        <v>58</v>
      </c>
      <c r="G104" s="13" t="s">
        <v>66</v>
      </c>
      <c r="H104" s="13" t="s">
        <v>53</v>
      </c>
      <c r="I104" s="13" t="s">
        <v>78</v>
      </c>
      <c r="J104" s="13" t="s">
        <v>44</v>
      </c>
      <c r="K104" s="13" t="s">
        <v>45</v>
      </c>
      <c r="L104" s="13" t="s">
        <v>60</v>
      </c>
      <c r="M104" s="13"/>
      <c r="N104" s="13"/>
      <c r="O104" s="13"/>
      <c r="P104" s="16"/>
      <c r="Q104" s="17"/>
      <c r="R104" s="13" t="s">
        <v>50</v>
      </c>
      <c r="S104" s="14" t="n">
        <v>46062.6715277778</v>
      </c>
      <c r="T104" s="13" t="str">
        <f aca="false">TEXT(D104,"mmm yyyy")</f>
        <v>Feb 2026</v>
      </c>
      <c r="U104" s="13" t="str">
        <f aca="false">TEXT(D104,"ddd")</f>
        <v>Fri</v>
      </c>
      <c r="V104" s="13" t="n">
        <f aca="false">INT(D104)-INT(C104)</f>
        <v>4</v>
      </c>
      <c r="W104" s="13" t="str">
        <f aca="false">IF(M104="","No","Yes")</f>
        <v>No</v>
      </c>
      <c r="X104" s="13" t="str">
        <f aca="false">IF(AND(W104="Yes",S104&lt;&gt;""),ROUND((S104-C104)*24,1),"")</f>
        <v/>
      </c>
      <c r="Y104" s="13" t="str">
        <f aca="false">IF(X104="","N/A",IF(X104&lt;=12,"Yes","No"))</f>
        <v>N/A</v>
      </c>
      <c r="Z104" s="13" t="str">
        <f aca="true">IF(B104="Pending",TODAY()-INT(C104),"")</f>
        <v/>
      </c>
    </row>
    <row r="105" customFormat="false" ht="15" hidden="false" customHeight="false" outlineLevel="0" collapsed="false">
      <c r="A105" s="13" t="s">
        <v>179</v>
      </c>
      <c r="B105" s="13" t="s">
        <v>39</v>
      </c>
      <c r="C105" s="14" t="n">
        <v>46062.3798611111</v>
      </c>
      <c r="D105" s="14" t="n">
        <v>46066.3958333333</v>
      </c>
      <c r="E105" s="15"/>
      <c r="F105" s="13" t="s">
        <v>58</v>
      </c>
      <c r="G105" s="13" t="s">
        <v>66</v>
      </c>
      <c r="H105" s="13" t="s">
        <v>42</v>
      </c>
      <c r="I105" s="13" t="s">
        <v>67</v>
      </c>
      <c r="J105" s="13" t="s">
        <v>59</v>
      </c>
      <c r="K105" s="13" t="s">
        <v>45</v>
      </c>
      <c r="L105" s="13" t="s">
        <v>60</v>
      </c>
      <c r="M105" s="13" t="s">
        <v>47</v>
      </c>
      <c r="N105" s="13" t="s">
        <v>55</v>
      </c>
      <c r="O105" s="13" t="s">
        <v>56</v>
      </c>
      <c r="P105" s="16"/>
      <c r="Q105" s="17"/>
      <c r="R105" s="13" t="s">
        <v>50</v>
      </c>
      <c r="S105" s="14" t="n">
        <v>46062.6715277778</v>
      </c>
      <c r="T105" s="13" t="str">
        <f aca="false">TEXT(D105,"mmm yyyy")</f>
        <v>Feb 2026</v>
      </c>
      <c r="U105" s="13" t="str">
        <f aca="false">TEXT(D105,"ddd")</f>
        <v>Fri</v>
      </c>
      <c r="V105" s="13" t="n">
        <f aca="false">INT(D105)-INT(C105)</f>
        <v>4</v>
      </c>
      <c r="W105" s="13" t="str">
        <f aca="false">IF(M105="","No","Yes")</f>
        <v>Yes</v>
      </c>
      <c r="X105" s="13" t="n">
        <f aca="false">IF(AND(W105="Yes",S105&lt;&gt;""),ROUND((S105-C105)*24,1),"")</f>
        <v>7</v>
      </c>
      <c r="Y105" s="13" t="str">
        <f aca="false">IF(X105="","N/A",IF(X105&lt;=12,"Yes","No"))</f>
        <v>Yes</v>
      </c>
      <c r="Z105" s="13" t="str">
        <f aca="true">IF(B105="Pending",TODAY()-INT(C105),"")</f>
        <v/>
      </c>
    </row>
    <row r="106" customFormat="false" ht="15" hidden="false" customHeight="false" outlineLevel="0" collapsed="false">
      <c r="A106" s="13" t="s">
        <v>180</v>
      </c>
      <c r="B106" s="13" t="s">
        <v>39</v>
      </c>
      <c r="C106" s="14" t="n">
        <v>46062.5416666667</v>
      </c>
      <c r="D106" s="14" t="n">
        <v>46066.7291666667</v>
      </c>
      <c r="E106" s="15" t="n">
        <v>0.0416666666666667</v>
      </c>
      <c r="F106" s="13" t="s">
        <v>58</v>
      </c>
      <c r="G106" s="13" t="s">
        <v>41</v>
      </c>
      <c r="H106" s="13" t="s">
        <v>53</v>
      </c>
      <c r="I106" s="13" t="s">
        <v>43</v>
      </c>
      <c r="J106" s="13" t="s">
        <v>44</v>
      </c>
      <c r="K106" s="13" t="s">
        <v>45</v>
      </c>
      <c r="L106" s="13" t="s">
        <v>46</v>
      </c>
      <c r="M106" s="13" t="s">
        <v>54</v>
      </c>
      <c r="N106" s="13" t="s">
        <v>62</v>
      </c>
      <c r="O106" s="13" t="s">
        <v>63</v>
      </c>
      <c r="P106" s="16"/>
      <c r="Q106" s="17"/>
      <c r="R106" s="13" t="s">
        <v>50</v>
      </c>
      <c r="S106" s="14" t="n">
        <v>46062.5715277778</v>
      </c>
      <c r="T106" s="13" t="str">
        <f aca="false">TEXT(D106,"mmm yyyy")</f>
        <v>Feb 2026</v>
      </c>
      <c r="U106" s="13" t="str">
        <f aca="false">TEXT(D106,"ddd")</f>
        <v>Fri</v>
      </c>
      <c r="V106" s="13" t="n">
        <f aca="false">INT(D106)-INT(C106)</f>
        <v>4</v>
      </c>
      <c r="W106" s="13" t="str">
        <f aca="false">IF(M106="","No","Yes")</f>
        <v>Yes</v>
      </c>
      <c r="X106" s="13" t="n">
        <f aca="false">IF(AND(W106="Yes",S106&lt;&gt;""),ROUND((S106-C106)*24,1),"")</f>
        <v>0.7</v>
      </c>
      <c r="Y106" s="13" t="str">
        <f aca="false">IF(X106="","N/A",IF(X106&lt;=12,"Yes","No"))</f>
        <v>Yes</v>
      </c>
      <c r="Z106" s="13" t="str">
        <f aca="true">IF(B106="Pending",TODAY()-INT(C106),"")</f>
        <v/>
      </c>
    </row>
    <row r="107" customFormat="false" ht="15" hidden="false" customHeight="false" outlineLevel="0" collapsed="false">
      <c r="A107" s="13" t="s">
        <v>181</v>
      </c>
      <c r="B107" s="13" t="s">
        <v>39</v>
      </c>
      <c r="C107" s="14" t="n">
        <v>46063.4375</v>
      </c>
      <c r="D107" s="14" t="n">
        <v>46067.3333333333</v>
      </c>
      <c r="E107" s="15"/>
      <c r="F107" s="13" t="s">
        <v>52</v>
      </c>
      <c r="G107" s="13" t="s">
        <v>66</v>
      </c>
      <c r="H107" s="13" t="s">
        <v>53</v>
      </c>
      <c r="I107" s="13" t="s">
        <v>42</v>
      </c>
      <c r="J107" s="13" t="s">
        <v>44</v>
      </c>
      <c r="K107" s="13" t="s">
        <v>45</v>
      </c>
      <c r="L107" s="13" t="s">
        <v>60</v>
      </c>
      <c r="M107" s="13" t="s">
        <v>61</v>
      </c>
      <c r="N107" s="13" t="s">
        <v>48</v>
      </c>
      <c r="O107" s="13" t="s">
        <v>49</v>
      </c>
      <c r="P107" s="16"/>
      <c r="Q107" s="17"/>
      <c r="R107" s="13" t="s">
        <v>50</v>
      </c>
      <c r="S107" s="14" t="n">
        <v>46064.3138888889</v>
      </c>
      <c r="T107" s="13" t="str">
        <f aca="false">TEXT(D107,"mmm yyyy")</f>
        <v>Feb 2026</v>
      </c>
      <c r="U107" s="13" t="str">
        <f aca="false">TEXT(D107,"ddd")</f>
        <v>Sat</v>
      </c>
      <c r="V107" s="13" t="n">
        <f aca="false">INT(D107)-INT(C107)</f>
        <v>4</v>
      </c>
      <c r="W107" s="13" t="str">
        <f aca="false">IF(M107="","No","Yes")</f>
        <v>Yes</v>
      </c>
      <c r="X107" s="13" t="n">
        <f aca="false">IF(AND(W107="Yes",S107&lt;&gt;""),ROUND((S107-C107)*24,1),"")</f>
        <v>21</v>
      </c>
      <c r="Y107" s="13" t="str">
        <f aca="false">IF(X107="","N/A",IF(X107&lt;=12,"Yes","No"))</f>
        <v>No</v>
      </c>
      <c r="Z107" s="13" t="str">
        <f aca="true">IF(B107="Pending",TODAY()-INT(C107),"")</f>
        <v/>
      </c>
    </row>
    <row r="108" customFormat="false" ht="15" hidden="false" customHeight="false" outlineLevel="0" collapsed="false">
      <c r="A108" s="13" t="s">
        <v>182</v>
      </c>
      <c r="B108" s="13" t="s">
        <v>39</v>
      </c>
      <c r="C108" s="14" t="n">
        <v>46064.38125</v>
      </c>
      <c r="D108" s="14" t="n">
        <v>46068.5416666667</v>
      </c>
      <c r="E108" s="15"/>
      <c r="F108" s="13" t="s">
        <v>52</v>
      </c>
      <c r="G108" s="13" t="s">
        <v>41</v>
      </c>
      <c r="H108" s="13" t="s">
        <v>42</v>
      </c>
      <c r="I108" s="13" t="s">
        <v>67</v>
      </c>
      <c r="J108" s="13" t="s">
        <v>44</v>
      </c>
      <c r="K108" s="13" t="s">
        <v>45</v>
      </c>
      <c r="L108" s="13" t="s">
        <v>60</v>
      </c>
      <c r="M108" s="13" t="s">
        <v>61</v>
      </c>
      <c r="N108" s="13" t="s">
        <v>79</v>
      </c>
      <c r="O108" s="13" t="s">
        <v>80</v>
      </c>
      <c r="P108" s="16"/>
      <c r="Q108" s="17"/>
      <c r="R108" s="13" t="s">
        <v>50</v>
      </c>
      <c r="S108" s="14" t="n">
        <v>46065.6930555556</v>
      </c>
      <c r="T108" s="13" t="str">
        <f aca="false">TEXT(D108,"mmm yyyy")</f>
        <v>Feb 2026</v>
      </c>
      <c r="U108" s="13" t="str">
        <f aca="false">TEXT(D108,"ddd")</f>
        <v>Sun</v>
      </c>
      <c r="V108" s="13" t="n">
        <f aca="false">INT(D108)-INT(C108)</f>
        <v>4</v>
      </c>
      <c r="W108" s="13" t="str">
        <f aca="false">IF(M108="","No","Yes")</f>
        <v>Yes</v>
      </c>
      <c r="X108" s="13" t="n">
        <f aca="false">IF(AND(W108="Yes",S108&lt;&gt;""),ROUND((S108-C108)*24,1),"")</f>
        <v>31.5</v>
      </c>
      <c r="Y108" s="13" t="str">
        <f aca="false">IF(X108="","N/A",IF(X108&lt;=12,"Yes","No"))</f>
        <v>No</v>
      </c>
      <c r="Z108" s="13" t="str">
        <f aca="true">IF(B108="Pending",TODAY()-INT(C108),"")</f>
        <v/>
      </c>
    </row>
    <row r="109" customFormat="false" ht="15" hidden="false" customHeight="false" outlineLevel="0" collapsed="false">
      <c r="A109" s="13" t="s">
        <v>183</v>
      </c>
      <c r="B109" s="13" t="s">
        <v>39</v>
      </c>
      <c r="C109" s="14" t="n">
        <v>46065.5777777778</v>
      </c>
      <c r="D109" s="14" t="n">
        <v>46069.3333333333</v>
      </c>
      <c r="E109" s="15"/>
      <c r="F109" s="13" t="s">
        <v>52</v>
      </c>
      <c r="G109" s="13" t="s">
        <v>66</v>
      </c>
      <c r="H109" s="13" t="s">
        <v>42</v>
      </c>
      <c r="I109" s="13" t="s">
        <v>67</v>
      </c>
      <c r="J109" s="13" t="s">
        <v>71</v>
      </c>
      <c r="K109" s="13" t="s">
        <v>45</v>
      </c>
      <c r="L109" s="13" t="s">
        <v>60</v>
      </c>
      <c r="M109" s="13" t="s">
        <v>54</v>
      </c>
      <c r="N109" s="13" t="s">
        <v>79</v>
      </c>
      <c r="O109" s="13" t="s">
        <v>80</v>
      </c>
      <c r="P109" s="16"/>
      <c r="Q109" s="17"/>
      <c r="R109" s="13" t="s">
        <v>50</v>
      </c>
      <c r="S109" s="14" t="n">
        <v>46066.5083333333</v>
      </c>
      <c r="T109" s="13" t="str">
        <f aca="false">TEXT(D109,"mmm yyyy")</f>
        <v>Feb 2026</v>
      </c>
      <c r="U109" s="13" t="str">
        <f aca="false">TEXT(D109,"ddd")</f>
        <v>Mon</v>
      </c>
      <c r="V109" s="13" t="n">
        <f aca="false">INT(D109)-INT(C109)</f>
        <v>4</v>
      </c>
      <c r="W109" s="13" t="str">
        <f aca="false">IF(M109="","No","Yes")</f>
        <v>Yes</v>
      </c>
      <c r="X109" s="13" t="n">
        <f aca="false">IF(AND(W109="Yes",S109&lt;&gt;""),ROUND((S109-C109)*24,1),"")</f>
        <v>22.3</v>
      </c>
      <c r="Y109" s="13" t="str">
        <f aca="false">IF(X109="","N/A",IF(X109&lt;=12,"Yes","No"))</f>
        <v>No</v>
      </c>
      <c r="Z109" s="13" t="str">
        <f aca="true">IF(B109="Pending",TODAY()-INT(C109),"")</f>
        <v/>
      </c>
    </row>
    <row r="110" customFormat="false" ht="15" hidden="false" customHeight="false" outlineLevel="0" collapsed="false">
      <c r="A110" s="13" t="s">
        <v>184</v>
      </c>
      <c r="B110" s="13" t="s">
        <v>69</v>
      </c>
      <c r="C110" s="14" t="n">
        <v>46067.5305555556</v>
      </c>
      <c r="D110" s="14" t="n">
        <v>46071.7291666667</v>
      </c>
      <c r="E110" s="15"/>
      <c r="F110" s="13" t="s">
        <v>52</v>
      </c>
      <c r="G110" s="13" t="s">
        <v>41</v>
      </c>
      <c r="H110" s="13" t="s">
        <v>53</v>
      </c>
      <c r="I110" s="13" t="s">
        <v>78</v>
      </c>
      <c r="J110" s="13" t="s">
        <v>71</v>
      </c>
      <c r="K110" s="13" t="s">
        <v>45</v>
      </c>
      <c r="L110" s="13" t="s">
        <v>60</v>
      </c>
      <c r="M110" s="13"/>
      <c r="N110" s="13"/>
      <c r="O110" s="13"/>
      <c r="P110" s="16"/>
      <c r="Q110" s="17"/>
      <c r="R110" s="13" t="s">
        <v>50</v>
      </c>
      <c r="S110" s="14" t="n">
        <v>46067.5604166667</v>
      </c>
      <c r="T110" s="13" t="str">
        <f aca="false">TEXT(D110,"mmm yyyy")</f>
        <v>Feb 2026</v>
      </c>
      <c r="U110" s="13" t="str">
        <f aca="false">TEXT(D110,"ddd")</f>
        <v>Wed</v>
      </c>
      <c r="V110" s="13" t="n">
        <f aca="false">INT(D110)-INT(C110)</f>
        <v>4</v>
      </c>
      <c r="W110" s="13" t="str">
        <f aca="false">IF(M110="","No","Yes")</f>
        <v>No</v>
      </c>
      <c r="X110" s="13" t="str">
        <f aca="false">IF(AND(W110="Yes",S110&lt;&gt;""),ROUND((S110-C110)*24,1),"")</f>
        <v/>
      </c>
      <c r="Y110" s="13" t="str">
        <f aca="false">IF(X110="","N/A",IF(X110&lt;=12,"Yes","No"))</f>
        <v>N/A</v>
      </c>
      <c r="Z110" s="13" t="str">
        <f aca="true">IF(B110="Pending",TODAY()-INT(C110),"")</f>
        <v/>
      </c>
    </row>
    <row r="111" customFormat="false" ht="15" hidden="false" customHeight="false" outlineLevel="0" collapsed="false">
      <c r="A111" s="13" t="s">
        <v>185</v>
      </c>
      <c r="B111" s="13" t="s">
        <v>39</v>
      </c>
      <c r="C111" s="14" t="n">
        <v>46071.6340277778</v>
      </c>
      <c r="D111" s="14" t="n">
        <v>46075.2708333333</v>
      </c>
      <c r="E111" s="15"/>
      <c r="F111" s="13" t="s">
        <v>88</v>
      </c>
      <c r="G111" s="13" t="s">
        <v>66</v>
      </c>
      <c r="H111" s="13" t="s">
        <v>42</v>
      </c>
      <c r="I111" s="13" t="s">
        <v>53</v>
      </c>
      <c r="J111" s="13" t="s">
        <v>131</v>
      </c>
      <c r="K111" s="13" t="s">
        <v>45</v>
      </c>
      <c r="L111" s="13" t="s">
        <v>60</v>
      </c>
      <c r="M111" s="13" t="s">
        <v>47</v>
      </c>
      <c r="N111" s="13" t="s">
        <v>55</v>
      </c>
      <c r="O111" s="13" t="s">
        <v>56</v>
      </c>
      <c r="P111" s="16"/>
      <c r="Q111" s="17"/>
      <c r="R111" s="13" t="s">
        <v>50</v>
      </c>
      <c r="S111" s="14" t="n">
        <v>46072.0104166667</v>
      </c>
      <c r="T111" s="13" t="str">
        <f aca="false">TEXT(D111,"mmm yyyy")</f>
        <v>Feb 2026</v>
      </c>
      <c r="U111" s="13" t="str">
        <f aca="false">TEXT(D111,"ddd")</f>
        <v>Sun</v>
      </c>
      <c r="V111" s="13" t="n">
        <f aca="false">INT(D111)-INT(C111)</f>
        <v>4</v>
      </c>
      <c r="W111" s="13" t="str">
        <f aca="false">IF(M111="","No","Yes")</f>
        <v>Yes</v>
      </c>
      <c r="X111" s="13" t="n">
        <f aca="false">IF(AND(W111="Yes",S111&lt;&gt;""),ROUND((S111-C111)*24,1),"")</f>
        <v>9</v>
      </c>
      <c r="Y111" s="13" t="str">
        <f aca="false">IF(X111="","N/A",IF(X111&lt;=12,"Yes","No"))</f>
        <v>Yes</v>
      </c>
      <c r="Z111" s="13" t="str">
        <f aca="true">IF(B111="Pending",TODAY()-INT(C111),"")</f>
        <v/>
      </c>
    </row>
    <row r="112" customFormat="false" ht="15" hidden="false" customHeight="false" outlineLevel="0" collapsed="false">
      <c r="A112" s="13" t="s">
        <v>186</v>
      </c>
      <c r="B112" s="13" t="s">
        <v>65</v>
      </c>
      <c r="C112" s="14" t="n">
        <v>46072.53125</v>
      </c>
      <c r="D112" s="14" t="n">
        <v>46076.2708333333</v>
      </c>
      <c r="E112" s="15"/>
      <c r="F112" s="13" t="s">
        <v>73</v>
      </c>
      <c r="G112" s="13" t="s">
        <v>66</v>
      </c>
      <c r="H112" s="13" t="s">
        <v>42</v>
      </c>
      <c r="I112" s="13" t="s">
        <v>67</v>
      </c>
      <c r="J112" s="13" t="s">
        <v>71</v>
      </c>
      <c r="K112" s="13" t="s">
        <v>45</v>
      </c>
      <c r="L112" s="13" t="s">
        <v>60</v>
      </c>
      <c r="M112" s="13"/>
      <c r="N112" s="13"/>
      <c r="O112" s="13"/>
      <c r="P112" s="16"/>
      <c r="Q112" s="17"/>
      <c r="R112" s="13" t="s">
        <v>50</v>
      </c>
      <c r="S112" s="14" t="n">
        <v>46072.9604166667</v>
      </c>
      <c r="T112" s="13" t="str">
        <f aca="false">TEXT(D112,"mmm yyyy")</f>
        <v>Feb 2026</v>
      </c>
      <c r="U112" s="13" t="str">
        <f aca="false">TEXT(D112,"ddd")</f>
        <v>Mon</v>
      </c>
      <c r="V112" s="13" t="n">
        <f aca="false">INT(D112)-INT(C112)</f>
        <v>4</v>
      </c>
      <c r="W112" s="13" t="str">
        <f aca="false">IF(M112="","No","Yes")</f>
        <v>No</v>
      </c>
      <c r="X112" s="13" t="str">
        <f aca="false">IF(AND(W112="Yes",S112&lt;&gt;""),ROUND((S112-C112)*24,1),"")</f>
        <v/>
      </c>
      <c r="Y112" s="13" t="str">
        <f aca="false">IF(X112="","N/A",IF(X112&lt;=12,"Yes","No"))</f>
        <v>N/A</v>
      </c>
      <c r="Z112" s="13" t="str">
        <f aca="true">IF(B112="Pending",TODAY()-INT(C112),"")</f>
        <v/>
      </c>
    </row>
    <row r="113" customFormat="false" ht="15" hidden="false" customHeight="false" outlineLevel="0" collapsed="false">
      <c r="A113" s="13" t="s">
        <v>187</v>
      </c>
      <c r="B113" s="13" t="s">
        <v>83</v>
      </c>
      <c r="C113" s="14" t="n">
        <v>46074.6166666667</v>
      </c>
      <c r="D113" s="14" t="n">
        <v>46078.3958333333</v>
      </c>
      <c r="E113" s="15"/>
      <c r="F113" s="13" t="s">
        <v>88</v>
      </c>
      <c r="G113" s="13" t="s">
        <v>41</v>
      </c>
      <c r="H113" s="13" t="s">
        <v>53</v>
      </c>
      <c r="I113" s="13" t="s">
        <v>78</v>
      </c>
      <c r="J113" s="13" t="s">
        <v>59</v>
      </c>
      <c r="K113" s="13" t="s">
        <v>45</v>
      </c>
      <c r="L113" s="13" t="s">
        <v>60</v>
      </c>
      <c r="M113" s="13"/>
      <c r="N113" s="13"/>
      <c r="O113" s="13"/>
      <c r="P113" s="16"/>
      <c r="Q113" s="17"/>
      <c r="R113" s="13"/>
      <c r="S113" s="14"/>
      <c r="T113" s="13" t="str">
        <f aca="false">TEXT(D113,"mmm yyyy")</f>
        <v>Feb 2026</v>
      </c>
      <c r="U113" s="13" t="str">
        <f aca="false">TEXT(D113,"ddd")</f>
        <v>Wed</v>
      </c>
      <c r="V113" s="13" t="n">
        <f aca="false">INT(D113)-INT(C113)</f>
        <v>4</v>
      </c>
      <c r="W113" s="13" t="str">
        <f aca="false">IF(M113="","No","Yes")</f>
        <v>No</v>
      </c>
      <c r="X113" s="13" t="str">
        <f aca="false">IF(AND(W113="Yes",S113&lt;&gt;""),ROUND((S113-C113)*24,1),"")</f>
        <v/>
      </c>
      <c r="Y113" s="13" t="str">
        <f aca="false">IF(X113="","N/A",IF(X113&lt;=12,"Yes","No"))</f>
        <v>N/A</v>
      </c>
      <c r="Z113" s="18" t="n">
        <f aca="true">IF(B113="Pending",TODAY()-INT(C113),"")</f>
        <v>200</v>
      </c>
    </row>
    <row r="114" customFormat="false" ht="15" hidden="false" customHeight="false" outlineLevel="0" collapsed="false">
      <c r="A114" s="13" t="s">
        <v>188</v>
      </c>
      <c r="B114" s="13" t="s">
        <v>39</v>
      </c>
      <c r="C114" s="14" t="n">
        <v>46075.6736111111</v>
      </c>
      <c r="D114" s="14" t="n">
        <v>46079.2708333333</v>
      </c>
      <c r="E114" s="15"/>
      <c r="F114" s="13" t="s">
        <v>40</v>
      </c>
      <c r="G114" s="13" t="s">
        <v>41</v>
      </c>
      <c r="H114" s="13" t="s">
        <v>53</v>
      </c>
      <c r="I114" s="13" t="s">
        <v>42</v>
      </c>
      <c r="J114" s="13" t="s">
        <v>131</v>
      </c>
      <c r="K114" s="13" t="s">
        <v>45</v>
      </c>
      <c r="L114" s="13" t="s">
        <v>60</v>
      </c>
      <c r="M114" s="13" t="s">
        <v>54</v>
      </c>
      <c r="N114" s="13" t="s">
        <v>55</v>
      </c>
      <c r="O114" s="13" t="s">
        <v>56</v>
      </c>
      <c r="P114" s="16"/>
      <c r="Q114" s="17"/>
      <c r="R114" s="13" t="s">
        <v>50</v>
      </c>
      <c r="S114" s="14" t="n">
        <v>46075.7583333333</v>
      </c>
      <c r="T114" s="13" t="str">
        <f aca="false">TEXT(D114,"mmm yyyy")</f>
        <v>Feb 2026</v>
      </c>
      <c r="U114" s="13" t="str">
        <f aca="false">TEXT(D114,"ddd")</f>
        <v>Thu</v>
      </c>
      <c r="V114" s="13" t="n">
        <f aca="false">INT(D114)-INT(C114)</f>
        <v>4</v>
      </c>
      <c r="W114" s="13" t="str">
        <f aca="false">IF(M114="","No","Yes")</f>
        <v>Yes</v>
      </c>
      <c r="X114" s="13" t="n">
        <f aca="false">IF(AND(W114="Yes",S114&lt;&gt;""),ROUND((S114-C114)*24,1),"")</f>
        <v>2</v>
      </c>
      <c r="Y114" s="13" t="str">
        <f aca="false">IF(X114="","N/A",IF(X114&lt;=12,"Yes","No"))</f>
        <v>Yes</v>
      </c>
      <c r="Z114" s="13" t="str">
        <f aca="true">IF(B114="Pending",TODAY()-INT(C114),"")</f>
        <v/>
      </c>
    </row>
    <row r="115" customFormat="false" ht="15" hidden="false" customHeight="false" outlineLevel="0" collapsed="false">
      <c r="A115" s="13" t="s">
        <v>189</v>
      </c>
      <c r="B115" s="13" t="s">
        <v>65</v>
      </c>
      <c r="C115" s="14" t="n">
        <v>46076.5847222222</v>
      </c>
      <c r="D115" s="14" t="n">
        <v>46080.3333333333</v>
      </c>
      <c r="E115" s="15"/>
      <c r="F115" s="13" t="s">
        <v>58</v>
      </c>
      <c r="G115" s="13" t="s">
        <v>41</v>
      </c>
      <c r="H115" s="13" t="s">
        <v>53</v>
      </c>
      <c r="I115" s="13" t="s">
        <v>78</v>
      </c>
      <c r="J115" s="13" t="s">
        <v>71</v>
      </c>
      <c r="K115" s="13" t="s">
        <v>45</v>
      </c>
      <c r="L115" s="13" t="s">
        <v>60</v>
      </c>
      <c r="M115" s="13"/>
      <c r="N115" s="13"/>
      <c r="O115" s="13"/>
      <c r="P115" s="16"/>
      <c r="Q115" s="17"/>
      <c r="R115" s="13" t="s">
        <v>50</v>
      </c>
      <c r="S115" s="14" t="n">
        <v>46076.8756944445</v>
      </c>
      <c r="T115" s="13" t="str">
        <f aca="false">TEXT(D115,"mmm yyyy")</f>
        <v>Feb 2026</v>
      </c>
      <c r="U115" s="13" t="str">
        <f aca="false">TEXT(D115,"ddd")</f>
        <v>Fri</v>
      </c>
      <c r="V115" s="13" t="n">
        <f aca="false">INT(D115)-INT(C115)</f>
        <v>4</v>
      </c>
      <c r="W115" s="13" t="str">
        <f aca="false">IF(M115="","No","Yes")</f>
        <v>No</v>
      </c>
      <c r="X115" s="13" t="str">
        <f aca="false">IF(AND(W115="Yes",S115&lt;&gt;""),ROUND((S115-C115)*24,1),"")</f>
        <v/>
      </c>
      <c r="Y115" s="13" t="str">
        <f aca="false">IF(X115="","N/A",IF(X115&lt;=12,"Yes","No"))</f>
        <v>N/A</v>
      </c>
      <c r="Z115" s="13" t="str">
        <f aca="true">IF(B115="Pending",TODAY()-INT(C115),"")</f>
        <v/>
      </c>
    </row>
    <row r="116" customFormat="false" ht="15" hidden="false" customHeight="false" outlineLevel="0" collapsed="false">
      <c r="A116" s="13" t="s">
        <v>190</v>
      </c>
      <c r="B116" s="13" t="s">
        <v>39</v>
      </c>
      <c r="C116" s="14" t="n">
        <v>46078.6597222222</v>
      </c>
      <c r="D116" s="14" t="n">
        <v>46081.3333333333</v>
      </c>
      <c r="E116" s="15"/>
      <c r="F116" s="13" t="s">
        <v>52</v>
      </c>
      <c r="G116" s="13" t="s">
        <v>66</v>
      </c>
      <c r="H116" s="13" t="s">
        <v>53</v>
      </c>
      <c r="I116" s="13" t="s">
        <v>42</v>
      </c>
      <c r="J116" s="13" t="s">
        <v>44</v>
      </c>
      <c r="K116" s="13" t="s">
        <v>45</v>
      </c>
      <c r="L116" s="13" t="s">
        <v>60</v>
      </c>
      <c r="M116" s="13" t="s">
        <v>47</v>
      </c>
      <c r="N116" s="13" t="s">
        <v>79</v>
      </c>
      <c r="O116" s="13" t="s">
        <v>80</v>
      </c>
      <c r="P116" s="16"/>
      <c r="Q116" s="17"/>
      <c r="R116" s="13" t="s">
        <v>50</v>
      </c>
      <c r="S116" s="14" t="n">
        <v>46078.8166666667</v>
      </c>
      <c r="T116" s="13" t="str">
        <f aca="false">TEXT(D116,"mmm yyyy")</f>
        <v>Feb 2026</v>
      </c>
      <c r="U116" s="13" t="str">
        <f aca="false">TEXT(D116,"ddd")</f>
        <v>Sat</v>
      </c>
      <c r="V116" s="13" t="n">
        <f aca="false">INT(D116)-INT(C116)</f>
        <v>3</v>
      </c>
      <c r="W116" s="13" t="str">
        <f aca="false">IF(M116="","No","Yes")</f>
        <v>Yes</v>
      </c>
      <c r="X116" s="13" t="n">
        <f aca="false">IF(AND(W116="Yes",S116&lt;&gt;""),ROUND((S116-C116)*24,1),"")</f>
        <v>3.8</v>
      </c>
      <c r="Y116" s="13" t="str">
        <f aca="false">IF(X116="","N/A",IF(X116&lt;=12,"Yes","No"))</f>
        <v>Yes</v>
      </c>
      <c r="Z116" s="13" t="str">
        <f aca="true">IF(B116="Pending",TODAY()-INT(C116),"")</f>
        <v/>
      </c>
    </row>
    <row r="117" customFormat="false" ht="15" hidden="false" customHeight="false" outlineLevel="0" collapsed="false">
      <c r="A117" s="13" t="s">
        <v>191</v>
      </c>
      <c r="B117" s="13" t="s">
        <v>39</v>
      </c>
      <c r="C117" s="14" t="n">
        <v>46084.4284722222</v>
      </c>
      <c r="D117" s="14" t="n">
        <v>46088.2708333333</v>
      </c>
      <c r="E117" s="15"/>
      <c r="F117" s="13" t="s">
        <v>88</v>
      </c>
      <c r="G117" s="13" t="s">
        <v>66</v>
      </c>
      <c r="H117" s="13" t="s">
        <v>42</v>
      </c>
      <c r="I117" s="13" t="s">
        <v>53</v>
      </c>
      <c r="J117" s="13" t="s">
        <v>44</v>
      </c>
      <c r="K117" s="13" t="s">
        <v>45</v>
      </c>
      <c r="L117" s="13" t="s">
        <v>60</v>
      </c>
      <c r="M117" s="13" t="s">
        <v>54</v>
      </c>
      <c r="N117" s="13" t="s">
        <v>62</v>
      </c>
      <c r="O117" s="13" t="s">
        <v>63</v>
      </c>
      <c r="P117" s="16"/>
      <c r="Q117" s="17"/>
      <c r="R117" s="13" t="s">
        <v>50</v>
      </c>
      <c r="S117" s="14" t="n">
        <v>46084.5222222222</v>
      </c>
      <c r="T117" s="13" t="str">
        <f aca="false">TEXT(D117,"mmm yyyy")</f>
        <v>Mar 2026</v>
      </c>
      <c r="U117" s="13" t="str">
        <f aca="false">TEXT(D117,"ddd")</f>
        <v>Sat</v>
      </c>
      <c r="V117" s="13" t="n">
        <f aca="false">INT(D117)-INT(C117)</f>
        <v>4</v>
      </c>
      <c r="W117" s="13" t="str">
        <f aca="false">IF(M117="","No","Yes")</f>
        <v>Yes</v>
      </c>
      <c r="X117" s="13" t="n">
        <f aca="false">IF(AND(W117="Yes",S117&lt;&gt;""),ROUND((S117-C117)*24,1),"")</f>
        <v>2.3</v>
      </c>
      <c r="Y117" s="13" t="str">
        <f aca="false">IF(X117="","N/A",IF(X117&lt;=12,"Yes","No"))</f>
        <v>Yes</v>
      </c>
      <c r="Z117" s="13" t="str">
        <f aca="true">IF(B117="Pending",TODAY()-INT(C117),"")</f>
        <v/>
      </c>
    </row>
    <row r="118" customFormat="false" ht="15" hidden="false" customHeight="false" outlineLevel="0" collapsed="false">
      <c r="A118" s="13" t="s">
        <v>192</v>
      </c>
      <c r="B118" s="13" t="s">
        <v>39</v>
      </c>
      <c r="C118" s="14" t="n">
        <v>46085.4784722222</v>
      </c>
      <c r="D118" s="14" t="n">
        <v>46089.2916666667</v>
      </c>
      <c r="E118" s="15"/>
      <c r="F118" s="13" t="s">
        <v>73</v>
      </c>
      <c r="G118" s="13" t="s">
        <v>66</v>
      </c>
      <c r="H118" s="13" t="s">
        <v>42</v>
      </c>
      <c r="I118" s="13" t="s">
        <v>67</v>
      </c>
      <c r="J118" s="13" t="s">
        <v>44</v>
      </c>
      <c r="K118" s="13" t="s">
        <v>45</v>
      </c>
      <c r="L118" s="13" t="s">
        <v>60</v>
      </c>
      <c r="M118" s="13" t="s">
        <v>54</v>
      </c>
      <c r="N118" s="13" t="s">
        <v>55</v>
      </c>
      <c r="O118" s="13" t="s">
        <v>56</v>
      </c>
      <c r="P118" s="16"/>
      <c r="Q118" s="17"/>
      <c r="R118" s="13" t="s">
        <v>50</v>
      </c>
      <c r="S118" s="14" t="n">
        <v>46086.3576388889</v>
      </c>
      <c r="T118" s="13" t="str">
        <f aca="false">TEXT(D118,"mmm yyyy")</f>
        <v>Mar 2026</v>
      </c>
      <c r="U118" s="13" t="str">
        <f aca="false">TEXT(D118,"ddd")</f>
        <v>Sun</v>
      </c>
      <c r="V118" s="13" t="n">
        <f aca="false">INT(D118)-INT(C118)</f>
        <v>4</v>
      </c>
      <c r="W118" s="13" t="str">
        <f aca="false">IF(M118="","No","Yes")</f>
        <v>Yes</v>
      </c>
      <c r="X118" s="13" t="n">
        <f aca="false">IF(AND(W118="Yes",S118&lt;&gt;""),ROUND((S118-C118)*24,1),"")</f>
        <v>21.1</v>
      </c>
      <c r="Y118" s="13" t="str">
        <f aca="false">IF(X118="","N/A",IF(X118&lt;=12,"Yes","No"))</f>
        <v>No</v>
      </c>
      <c r="Z118" s="13" t="str">
        <f aca="true">IF(B118="Pending",TODAY()-INT(C118),"")</f>
        <v/>
      </c>
    </row>
    <row r="119" customFormat="false" ht="15" hidden="false" customHeight="false" outlineLevel="0" collapsed="false">
      <c r="A119" s="13" t="s">
        <v>193</v>
      </c>
      <c r="B119" s="13" t="s">
        <v>39</v>
      </c>
      <c r="C119" s="14" t="n">
        <v>46085.6944444445</v>
      </c>
      <c r="D119" s="14" t="n">
        <v>46089.2916666667</v>
      </c>
      <c r="E119" s="15"/>
      <c r="F119" s="13" t="s">
        <v>96</v>
      </c>
      <c r="G119" s="13" t="s">
        <v>66</v>
      </c>
      <c r="H119" s="13" t="s">
        <v>42</v>
      </c>
      <c r="I119" s="13" t="s">
        <v>67</v>
      </c>
      <c r="J119" s="13" t="s">
        <v>44</v>
      </c>
      <c r="K119" s="13" t="s">
        <v>45</v>
      </c>
      <c r="L119" s="13" t="s">
        <v>60</v>
      </c>
      <c r="M119" s="13" t="s">
        <v>61</v>
      </c>
      <c r="N119" s="13" t="s">
        <v>62</v>
      </c>
      <c r="O119" s="13" t="s">
        <v>63</v>
      </c>
      <c r="P119" s="16"/>
      <c r="Q119" s="17"/>
      <c r="R119" s="13" t="s">
        <v>50</v>
      </c>
      <c r="S119" s="14" t="n">
        <v>46085.7875</v>
      </c>
      <c r="T119" s="13" t="str">
        <f aca="false">TEXT(D119,"mmm yyyy")</f>
        <v>Mar 2026</v>
      </c>
      <c r="U119" s="13" t="str">
        <f aca="false">TEXT(D119,"ddd")</f>
        <v>Sun</v>
      </c>
      <c r="V119" s="13" t="n">
        <f aca="false">INT(D119)-INT(C119)</f>
        <v>4</v>
      </c>
      <c r="W119" s="13" t="str">
        <f aca="false">IF(M119="","No","Yes")</f>
        <v>Yes</v>
      </c>
      <c r="X119" s="13" t="n">
        <f aca="false">IF(AND(W119="Yes",S119&lt;&gt;""),ROUND((S119-C119)*24,1),"")</f>
        <v>2.2</v>
      </c>
      <c r="Y119" s="13" t="str">
        <f aca="false">IF(X119="","N/A",IF(X119&lt;=12,"Yes","No"))</f>
        <v>Yes</v>
      </c>
      <c r="Z119" s="13" t="str">
        <f aca="true">IF(B119="Pending",TODAY()-INT(C119),"")</f>
        <v/>
      </c>
    </row>
    <row r="120" customFormat="false" ht="15" hidden="false" customHeight="false" outlineLevel="0" collapsed="false">
      <c r="A120" s="13" t="s">
        <v>194</v>
      </c>
      <c r="B120" s="13" t="s">
        <v>39</v>
      </c>
      <c r="C120" s="14" t="n">
        <v>46085.7486111111</v>
      </c>
      <c r="D120" s="14" t="n">
        <v>46089.2916666667</v>
      </c>
      <c r="E120" s="15"/>
      <c r="F120" s="13" t="s">
        <v>40</v>
      </c>
      <c r="G120" s="13" t="s">
        <v>41</v>
      </c>
      <c r="H120" s="13" t="s">
        <v>53</v>
      </c>
      <c r="I120" s="13" t="s">
        <v>78</v>
      </c>
      <c r="J120" s="13" t="s">
        <v>59</v>
      </c>
      <c r="K120" s="13" t="s">
        <v>45</v>
      </c>
      <c r="L120" s="13" t="s">
        <v>60</v>
      </c>
      <c r="M120" s="13" t="s">
        <v>61</v>
      </c>
      <c r="N120" s="13" t="s">
        <v>62</v>
      </c>
      <c r="O120" s="13" t="s">
        <v>63</v>
      </c>
      <c r="P120" s="16"/>
      <c r="Q120" s="17"/>
      <c r="R120" s="13" t="s">
        <v>50</v>
      </c>
      <c r="S120" s="14" t="n">
        <v>46085.8465277778</v>
      </c>
      <c r="T120" s="13" t="str">
        <f aca="false">TEXT(D120,"mmm yyyy")</f>
        <v>Mar 2026</v>
      </c>
      <c r="U120" s="13" t="str">
        <f aca="false">TEXT(D120,"ddd")</f>
        <v>Sun</v>
      </c>
      <c r="V120" s="13" t="n">
        <f aca="false">INT(D120)-INT(C120)</f>
        <v>4</v>
      </c>
      <c r="W120" s="13" t="str">
        <f aca="false">IF(M120="","No","Yes")</f>
        <v>Yes</v>
      </c>
      <c r="X120" s="13" t="n">
        <f aca="false">IF(AND(W120="Yes",S120&lt;&gt;""),ROUND((S120-C120)*24,1),"")</f>
        <v>2.4</v>
      </c>
      <c r="Y120" s="13" t="str">
        <f aca="false">IF(X120="","N/A",IF(X120&lt;=12,"Yes","No"))</f>
        <v>Yes</v>
      </c>
      <c r="Z120" s="13" t="str">
        <f aca="true">IF(B120="Pending",TODAY()-INT(C120),"")</f>
        <v/>
      </c>
    </row>
    <row r="121" customFormat="false" ht="15" hidden="false" customHeight="false" outlineLevel="0" collapsed="false">
      <c r="A121" s="13" t="s">
        <v>195</v>
      </c>
      <c r="B121" s="13" t="s">
        <v>39</v>
      </c>
      <c r="C121" s="14" t="n">
        <v>46085.4166666667</v>
      </c>
      <c r="D121" s="14" t="n">
        <v>46089.7291666667</v>
      </c>
      <c r="E121" s="15" t="n">
        <v>0.0416666666666667</v>
      </c>
      <c r="F121" s="13" t="s">
        <v>96</v>
      </c>
      <c r="G121" s="13" t="s">
        <v>41</v>
      </c>
      <c r="H121" s="13" t="s">
        <v>42</v>
      </c>
      <c r="I121" s="13" t="s">
        <v>43</v>
      </c>
      <c r="J121" s="13" t="s">
        <v>44</v>
      </c>
      <c r="K121" s="13" t="s">
        <v>45</v>
      </c>
      <c r="L121" s="13" t="s">
        <v>46</v>
      </c>
      <c r="M121" s="13" t="s">
        <v>90</v>
      </c>
      <c r="N121" s="13" t="s">
        <v>62</v>
      </c>
      <c r="O121" s="13" t="s">
        <v>63</v>
      </c>
      <c r="P121" s="16"/>
      <c r="Q121" s="17"/>
      <c r="R121" s="13" t="s">
        <v>50</v>
      </c>
      <c r="S121" s="14" t="n">
        <v>46085.7826388889</v>
      </c>
      <c r="T121" s="13" t="str">
        <f aca="false">TEXT(D121,"mmm yyyy")</f>
        <v>Mar 2026</v>
      </c>
      <c r="U121" s="13" t="str">
        <f aca="false">TEXT(D121,"ddd")</f>
        <v>Sun</v>
      </c>
      <c r="V121" s="13" t="n">
        <f aca="false">INT(D121)-INT(C121)</f>
        <v>4</v>
      </c>
      <c r="W121" s="13" t="str">
        <f aca="false">IF(M121="","No","Yes")</f>
        <v>Yes</v>
      </c>
      <c r="X121" s="13" t="n">
        <f aca="false">IF(AND(W121="Yes",S121&lt;&gt;""),ROUND((S121-C121)*24,1),"")</f>
        <v>8.8</v>
      </c>
      <c r="Y121" s="13" t="str">
        <f aca="false">IF(X121="","N/A",IF(X121&lt;=12,"Yes","No"))</f>
        <v>Yes</v>
      </c>
      <c r="Z121" s="13" t="str">
        <f aca="true">IF(B121="Pending",TODAY()-INT(C121),"")</f>
        <v/>
      </c>
    </row>
    <row r="122" customFormat="false" ht="15" hidden="false" customHeight="false" outlineLevel="0" collapsed="false">
      <c r="A122" s="13" t="s">
        <v>196</v>
      </c>
      <c r="B122" s="13" t="s">
        <v>39</v>
      </c>
      <c r="C122" s="14" t="n">
        <v>46088.6090277778</v>
      </c>
      <c r="D122" s="14" t="n">
        <v>46092.3958333333</v>
      </c>
      <c r="E122" s="15" t="n">
        <v>0.708333333333333</v>
      </c>
      <c r="F122" s="13" t="s">
        <v>96</v>
      </c>
      <c r="G122" s="13" t="s">
        <v>41</v>
      </c>
      <c r="H122" s="13" t="s">
        <v>53</v>
      </c>
      <c r="I122" s="13" t="s">
        <v>43</v>
      </c>
      <c r="J122" s="13" t="s">
        <v>44</v>
      </c>
      <c r="K122" s="13" t="s">
        <v>45</v>
      </c>
      <c r="L122" s="13" t="s">
        <v>46</v>
      </c>
      <c r="M122" s="13" t="s">
        <v>47</v>
      </c>
      <c r="N122" s="13" t="s">
        <v>48</v>
      </c>
      <c r="O122" s="13" t="s">
        <v>49</v>
      </c>
      <c r="P122" s="16"/>
      <c r="Q122" s="17"/>
      <c r="R122" s="13" t="s">
        <v>50</v>
      </c>
      <c r="S122" s="14" t="n">
        <v>46088.6305555556</v>
      </c>
      <c r="T122" s="13" t="str">
        <f aca="false">TEXT(D122,"mmm yyyy")</f>
        <v>Mar 2026</v>
      </c>
      <c r="U122" s="13" t="str">
        <f aca="false">TEXT(D122,"ddd")</f>
        <v>Wed</v>
      </c>
      <c r="V122" s="13" t="n">
        <f aca="false">INT(D122)-INT(C122)</f>
        <v>4</v>
      </c>
      <c r="W122" s="13" t="str">
        <f aca="false">IF(M122="","No","Yes")</f>
        <v>Yes</v>
      </c>
      <c r="X122" s="13" t="n">
        <f aca="false">IF(AND(W122="Yes",S122&lt;&gt;""),ROUND((S122-C122)*24,1),"")</f>
        <v>0.5</v>
      </c>
      <c r="Y122" s="13" t="str">
        <f aca="false">IF(X122="","N/A",IF(X122&lt;=12,"Yes","No"))</f>
        <v>Yes</v>
      </c>
      <c r="Z122" s="13" t="str">
        <f aca="true">IF(B122="Pending",TODAY()-INT(C122),"")</f>
        <v/>
      </c>
    </row>
    <row r="123" customFormat="false" ht="15" hidden="false" customHeight="false" outlineLevel="0" collapsed="false">
      <c r="A123" s="13" t="s">
        <v>197</v>
      </c>
      <c r="B123" s="13" t="s">
        <v>39</v>
      </c>
      <c r="C123" s="14" t="n">
        <v>46088.6965277778</v>
      </c>
      <c r="D123" s="14" t="n">
        <v>46092.5416666667</v>
      </c>
      <c r="E123" s="15"/>
      <c r="F123" s="13" t="s">
        <v>52</v>
      </c>
      <c r="G123" s="13" t="s">
        <v>41</v>
      </c>
      <c r="H123" s="13" t="s">
        <v>42</v>
      </c>
      <c r="I123" s="13" t="s">
        <v>53</v>
      </c>
      <c r="J123" s="13" t="s">
        <v>44</v>
      </c>
      <c r="K123" s="13" t="s">
        <v>45</v>
      </c>
      <c r="L123" s="13" t="s">
        <v>60</v>
      </c>
      <c r="M123" s="13" t="s">
        <v>47</v>
      </c>
      <c r="N123" s="13" t="s">
        <v>79</v>
      </c>
      <c r="O123" s="13" t="s">
        <v>80</v>
      </c>
      <c r="P123" s="16"/>
      <c r="Q123" s="17"/>
      <c r="R123" s="13" t="s">
        <v>50</v>
      </c>
      <c r="S123" s="14" t="n">
        <v>46088.9840277778</v>
      </c>
      <c r="T123" s="13" t="str">
        <f aca="false">TEXT(D123,"mmm yyyy")</f>
        <v>Mar 2026</v>
      </c>
      <c r="U123" s="13" t="str">
        <f aca="false">TEXT(D123,"ddd")</f>
        <v>Wed</v>
      </c>
      <c r="V123" s="13" t="n">
        <f aca="false">INT(D123)-INT(C123)</f>
        <v>4</v>
      </c>
      <c r="W123" s="13" t="str">
        <f aca="false">IF(M123="","No","Yes")</f>
        <v>Yes</v>
      </c>
      <c r="X123" s="13" t="n">
        <f aca="false">IF(AND(W123="Yes",S123&lt;&gt;""),ROUND((S123-C123)*24,1),"")</f>
        <v>6.9</v>
      </c>
      <c r="Y123" s="13" t="str">
        <f aca="false">IF(X123="","N/A",IF(X123&lt;=12,"Yes","No"))</f>
        <v>Yes</v>
      </c>
      <c r="Z123" s="13" t="str">
        <f aca="true">IF(B123="Pending",TODAY()-INT(C123),"")</f>
        <v/>
      </c>
    </row>
    <row r="124" customFormat="false" ht="15" hidden="false" customHeight="false" outlineLevel="0" collapsed="false">
      <c r="A124" s="13" t="s">
        <v>198</v>
      </c>
      <c r="B124" s="13" t="s">
        <v>83</v>
      </c>
      <c r="C124" s="14" t="n">
        <v>46090.4576388889</v>
      </c>
      <c r="D124" s="14" t="n">
        <v>46094.2708333333</v>
      </c>
      <c r="E124" s="15"/>
      <c r="F124" s="13" t="s">
        <v>73</v>
      </c>
      <c r="G124" s="13" t="s">
        <v>66</v>
      </c>
      <c r="H124" s="13" t="s">
        <v>42</v>
      </c>
      <c r="I124" s="13" t="s">
        <v>53</v>
      </c>
      <c r="J124" s="13" t="s">
        <v>71</v>
      </c>
      <c r="K124" s="13" t="s">
        <v>45</v>
      </c>
      <c r="L124" s="13" t="s">
        <v>60</v>
      </c>
      <c r="M124" s="13"/>
      <c r="N124" s="13"/>
      <c r="O124" s="13"/>
      <c r="P124" s="16"/>
      <c r="Q124" s="17"/>
      <c r="R124" s="13"/>
      <c r="S124" s="14"/>
      <c r="T124" s="13" t="str">
        <f aca="false">TEXT(D124,"mmm yyyy")</f>
        <v>Mar 2026</v>
      </c>
      <c r="U124" s="13" t="str">
        <f aca="false">TEXT(D124,"ddd")</f>
        <v>Fri</v>
      </c>
      <c r="V124" s="13" t="n">
        <f aca="false">INT(D124)-INT(C124)</f>
        <v>4</v>
      </c>
      <c r="W124" s="13" t="str">
        <f aca="false">IF(M124="","No","Yes")</f>
        <v>No</v>
      </c>
      <c r="X124" s="13" t="str">
        <f aca="false">IF(AND(W124="Yes",S124&lt;&gt;""),ROUND((S124-C124)*24,1),"")</f>
        <v/>
      </c>
      <c r="Y124" s="13" t="str">
        <f aca="false">IF(X124="","N/A",IF(X124&lt;=12,"Yes","No"))</f>
        <v>N/A</v>
      </c>
      <c r="Z124" s="18" t="n">
        <f aca="true">IF(B124="Pending",TODAY()-INT(C124),"")</f>
        <v>184</v>
      </c>
    </row>
    <row r="125" customFormat="false" ht="15" hidden="false" customHeight="false" outlineLevel="0" collapsed="false">
      <c r="A125" s="13" t="s">
        <v>199</v>
      </c>
      <c r="B125" s="13" t="s">
        <v>69</v>
      </c>
      <c r="C125" s="14" t="n">
        <v>46091.5326388889</v>
      </c>
      <c r="D125" s="14" t="n">
        <v>46095.7291666667</v>
      </c>
      <c r="E125" s="15"/>
      <c r="F125" s="13" t="s">
        <v>40</v>
      </c>
      <c r="G125" s="13" t="s">
        <v>66</v>
      </c>
      <c r="H125" s="13" t="s">
        <v>42</v>
      </c>
      <c r="I125" s="13" t="s">
        <v>67</v>
      </c>
      <c r="J125" s="13" t="s">
        <v>71</v>
      </c>
      <c r="K125" s="13" t="s">
        <v>45</v>
      </c>
      <c r="L125" s="13" t="s">
        <v>60</v>
      </c>
      <c r="M125" s="13"/>
      <c r="N125" s="13"/>
      <c r="O125" s="13"/>
      <c r="P125" s="16"/>
      <c r="Q125" s="17"/>
      <c r="R125" s="13" t="s">
        <v>50</v>
      </c>
      <c r="S125" s="14" t="n">
        <v>46091.74375</v>
      </c>
      <c r="T125" s="13" t="str">
        <f aca="false">TEXT(D125,"mmm yyyy")</f>
        <v>Mar 2026</v>
      </c>
      <c r="U125" s="13" t="str">
        <f aca="false">TEXT(D125,"ddd")</f>
        <v>Sat</v>
      </c>
      <c r="V125" s="13" t="n">
        <f aca="false">INT(D125)-INT(C125)</f>
        <v>4</v>
      </c>
      <c r="W125" s="13" t="str">
        <f aca="false">IF(M125="","No","Yes")</f>
        <v>No</v>
      </c>
      <c r="X125" s="13" t="str">
        <f aca="false">IF(AND(W125="Yes",S125&lt;&gt;""),ROUND((S125-C125)*24,1),"")</f>
        <v/>
      </c>
      <c r="Y125" s="13" t="str">
        <f aca="false">IF(X125="","N/A",IF(X125&lt;=12,"Yes","No"))</f>
        <v>N/A</v>
      </c>
      <c r="Z125" s="13" t="str">
        <f aca="true">IF(B125="Pending",TODAY()-INT(C125),"")</f>
        <v/>
      </c>
    </row>
    <row r="126" customFormat="false" ht="15" hidden="false" customHeight="false" outlineLevel="0" collapsed="false">
      <c r="A126" s="13" t="s">
        <v>200</v>
      </c>
      <c r="B126" s="13" t="s">
        <v>39</v>
      </c>
      <c r="C126" s="14" t="n">
        <v>46092.6847222222</v>
      </c>
      <c r="D126" s="14" t="n">
        <v>46096.5416666667</v>
      </c>
      <c r="E126" s="15"/>
      <c r="F126" s="13" t="s">
        <v>73</v>
      </c>
      <c r="G126" s="13" t="s">
        <v>41</v>
      </c>
      <c r="H126" s="13" t="s">
        <v>42</v>
      </c>
      <c r="I126" s="13" t="s">
        <v>67</v>
      </c>
      <c r="J126" s="13" t="s">
        <v>44</v>
      </c>
      <c r="K126" s="13" t="s">
        <v>45</v>
      </c>
      <c r="L126" s="13" t="s">
        <v>60</v>
      </c>
      <c r="M126" s="13" t="s">
        <v>54</v>
      </c>
      <c r="N126" s="13" t="s">
        <v>62</v>
      </c>
      <c r="O126" s="13" t="s">
        <v>63</v>
      </c>
      <c r="P126" s="16"/>
      <c r="Q126" s="17"/>
      <c r="R126" s="13" t="s">
        <v>50</v>
      </c>
      <c r="S126" s="14" t="n">
        <v>46092.725</v>
      </c>
      <c r="T126" s="13" t="str">
        <f aca="false">TEXT(D126,"mmm yyyy")</f>
        <v>Mar 2026</v>
      </c>
      <c r="U126" s="13" t="str">
        <f aca="false">TEXT(D126,"ddd")</f>
        <v>Sun</v>
      </c>
      <c r="V126" s="13" t="n">
        <f aca="false">INT(D126)-INT(C126)</f>
        <v>4</v>
      </c>
      <c r="W126" s="13" t="str">
        <f aca="false">IF(M126="","No","Yes")</f>
        <v>Yes</v>
      </c>
      <c r="X126" s="13" t="n">
        <f aca="false">IF(AND(W126="Yes",S126&lt;&gt;""),ROUND((S126-C126)*24,1),"")</f>
        <v>1</v>
      </c>
      <c r="Y126" s="13" t="str">
        <f aca="false">IF(X126="","N/A",IF(X126&lt;=12,"Yes","No"))</f>
        <v>Yes</v>
      </c>
      <c r="Z126" s="13" t="str">
        <f aca="true">IF(B126="Pending",TODAY()-INT(C126),"")</f>
        <v/>
      </c>
    </row>
    <row r="127" customFormat="false" ht="15" hidden="false" customHeight="false" outlineLevel="0" collapsed="false">
      <c r="A127" s="13" t="s">
        <v>201</v>
      </c>
      <c r="B127" s="13" t="s">
        <v>39</v>
      </c>
      <c r="C127" s="14" t="n">
        <v>46094.3868055556</v>
      </c>
      <c r="D127" s="14" t="n">
        <v>46098.3958333333</v>
      </c>
      <c r="E127" s="15"/>
      <c r="F127" s="13" t="s">
        <v>73</v>
      </c>
      <c r="G127" s="13" t="s">
        <v>66</v>
      </c>
      <c r="H127" s="13" t="s">
        <v>42</v>
      </c>
      <c r="I127" s="13" t="s">
        <v>67</v>
      </c>
      <c r="J127" s="13" t="s">
        <v>59</v>
      </c>
      <c r="K127" s="13" t="s">
        <v>45</v>
      </c>
      <c r="L127" s="13" t="s">
        <v>60</v>
      </c>
      <c r="M127" s="13" t="s">
        <v>90</v>
      </c>
      <c r="N127" s="13" t="s">
        <v>62</v>
      </c>
      <c r="O127" s="13" t="s">
        <v>63</v>
      </c>
      <c r="P127" s="16"/>
      <c r="Q127" s="17"/>
      <c r="R127" s="13" t="s">
        <v>50</v>
      </c>
      <c r="S127" s="14" t="n">
        <v>46095.7388888889</v>
      </c>
      <c r="T127" s="13" t="str">
        <f aca="false">TEXT(D127,"mmm yyyy")</f>
        <v>Mar 2026</v>
      </c>
      <c r="U127" s="13" t="str">
        <f aca="false">TEXT(D127,"ddd")</f>
        <v>Tue</v>
      </c>
      <c r="V127" s="13" t="n">
        <f aca="false">INT(D127)-INT(C127)</f>
        <v>4</v>
      </c>
      <c r="W127" s="13" t="str">
        <f aca="false">IF(M127="","No","Yes")</f>
        <v>Yes</v>
      </c>
      <c r="X127" s="13" t="n">
        <f aca="false">IF(AND(W127="Yes",S127&lt;&gt;""),ROUND((S127-C127)*24,1),"")</f>
        <v>32.5</v>
      </c>
      <c r="Y127" s="13" t="str">
        <f aca="false">IF(X127="","N/A",IF(X127&lt;=12,"Yes","No"))</f>
        <v>No</v>
      </c>
      <c r="Z127" s="13" t="str">
        <f aca="true">IF(B127="Pending",TODAY()-INT(C127),"")</f>
        <v/>
      </c>
    </row>
    <row r="128" customFormat="false" ht="15" hidden="false" customHeight="false" outlineLevel="0" collapsed="false">
      <c r="A128" s="13" t="s">
        <v>202</v>
      </c>
      <c r="B128" s="13" t="s">
        <v>39</v>
      </c>
      <c r="C128" s="14" t="n">
        <v>46096.7375</v>
      </c>
      <c r="D128" s="14" t="n">
        <v>46100.2916666667</v>
      </c>
      <c r="E128" s="15"/>
      <c r="F128" s="13" t="s">
        <v>58</v>
      </c>
      <c r="G128" s="13" t="s">
        <v>41</v>
      </c>
      <c r="H128" s="13" t="s">
        <v>53</v>
      </c>
      <c r="I128" s="13" t="s">
        <v>78</v>
      </c>
      <c r="J128" s="13" t="s">
        <v>71</v>
      </c>
      <c r="K128" s="13" t="s">
        <v>45</v>
      </c>
      <c r="L128" s="13" t="s">
        <v>60</v>
      </c>
      <c r="M128" s="13" t="s">
        <v>61</v>
      </c>
      <c r="N128" s="13" t="s">
        <v>79</v>
      </c>
      <c r="O128" s="13" t="s">
        <v>80</v>
      </c>
      <c r="P128" s="16"/>
      <c r="Q128" s="17"/>
      <c r="R128" s="13" t="s">
        <v>50</v>
      </c>
      <c r="S128" s="14" t="n">
        <v>46096.81875</v>
      </c>
      <c r="T128" s="13" t="str">
        <f aca="false">TEXT(D128,"mmm yyyy")</f>
        <v>Mar 2026</v>
      </c>
      <c r="U128" s="13" t="str">
        <f aca="false">TEXT(D128,"ddd")</f>
        <v>Thu</v>
      </c>
      <c r="V128" s="13" t="n">
        <f aca="false">INT(D128)-INT(C128)</f>
        <v>4</v>
      </c>
      <c r="W128" s="13" t="str">
        <f aca="false">IF(M128="","No","Yes")</f>
        <v>Yes</v>
      </c>
      <c r="X128" s="13" t="n">
        <f aca="false">IF(AND(W128="Yes",S128&lt;&gt;""),ROUND((S128-C128)*24,1),"")</f>
        <v>2</v>
      </c>
      <c r="Y128" s="13" t="str">
        <f aca="false">IF(X128="","N/A",IF(X128&lt;=12,"Yes","No"))</f>
        <v>Yes</v>
      </c>
      <c r="Z128" s="13" t="str">
        <f aca="true">IF(B128="Pending",TODAY()-INT(C128),"")</f>
        <v/>
      </c>
    </row>
    <row r="129" customFormat="false" ht="15" hidden="false" customHeight="false" outlineLevel="0" collapsed="false">
      <c r="A129" s="13" t="s">
        <v>203</v>
      </c>
      <c r="B129" s="13" t="s">
        <v>65</v>
      </c>
      <c r="C129" s="14" t="n">
        <v>46098.4069444445</v>
      </c>
      <c r="D129" s="14" t="n">
        <v>46102.2916666667</v>
      </c>
      <c r="E129" s="15" t="n">
        <v>0.708333333333333</v>
      </c>
      <c r="F129" s="13" t="s">
        <v>96</v>
      </c>
      <c r="G129" s="13" t="s">
        <v>41</v>
      </c>
      <c r="H129" s="13" t="s">
        <v>42</v>
      </c>
      <c r="I129" s="13" t="s">
        <v>43</v>
      </c>
      <c r="J129" s="13" t="s">
        <v>44</v>
      </c>
      <c r="K129" s="13" t="s">
        <v>45</v>
      </c>
      <c r="L129" s="13" t="s">
        <v>46</v>
      </c>
      <c r="M129" s="13"/>
      <c r="N129" s="13"/>
      <c r="O129" s="13"/>
      <c r="P129" s="16"/>
      <c r="Q129" s="17"/>
      <c r="R129" s="13" t="s">
        <v>50</v>
      </c>
      <c r="S129" s="14" t="n">
        <v>46098.4680555556</v>
      </c>
      <c r="T129" s="13" t="str">
        <f aca="false">TEXT(D129,"mmm yyyy")</f>
        <v>Mar 2026</v>
      </c>
      <c r="U129" s="13" t="str">
        <f aca="false">TEXT(D129,"ddd")</f>
        <v>Sat</v>
      </c>
      <c r="V129" s="13" t="n">
        <f aca="false">INT(D129)-INT(C129)</f>
        <v>4</v>
      </c>
      <c r="W129" s="13" t="str">
        <f aca="false">IF(M129="","No","Yes")</f>
        <v>No</v>
      </c>
      <c r="X129" s="13" t="str">
        <f aca="false">IF(AND(W129="Yes",S129&lt;&gt;""),ROUND((S129-C129)*24,1),"")</f>
        <v/>
      </c>
      <c r="Y129" s="13" t="str">
        <f aca="false">IF(X129="","N/A",IF(X129&lt;=12,"Yes","No"))</f>
        <v>N/A</v>
      </c>
      <c r="Z129" s="13" t="str">
        <f aca="true">IF(B129="Pending",TODAY()-INT(C129),"")</f>
        <v/>
      </c>
    </row>
    <row r="130" customFormat="false" ht="15" hidden="false" customHeight="false" outlineLevel="0" collapsed="false">
      <c r="A130" s="13" t="s">
        <v>204</v>
      </c>
      <c r="B130" s="13" t="s">
        <v>39</v>
      </c>
      <c r="C130" s="14" t="n">
        <v>46099.5618055556</v>
      </c>
      <c r="D130" s="14" t="n">
        <v>46103.2708333333</v>
      </c>
      <c r="E130" s="15"/>
      <c r="F130" s="13" t="s">
        <v>40</v>
      </c>
      <c r="G130" s="13" t="s">
        <v>41</v>
      </c>
      <c r="H130" s="13" t="s">
        <v>53</v>
      </c>
      <c r="I130" s="13" t="s">
        <v>78</v>
      </c>
      <c r="J130" s="13" t="s">
        <v>131</v>
      </c>
      <c r="K130" s="13" t="s">
        <v>45</v>
      </c>
      <c r="L130" s="13" t="s">
        <v>60</v>
      </c>
      <c r="M130" s="13" t="s">
        <v>47</v>
      </c>
      <c r="N130" s="13" t="s">
        <v>48</v>
      </c>
      <c r="O130" s="13" t="s">
        <v>49</v>
      </c>
      <c r="P130" s="16"/>
      <c r="Q130" s="17"/>
      <c r="R130" s="13" t="s">
        <v>50</v>
      </c>
      <c r="S130" s="14" t="n">
        <v>46099.7541666667</v>
      </c>
      <c r="T130" s="13" t="str">
        <f aca="false">TEXT(D130,"mmm yyyy")</f>
        <v>Mar 2026</v>
      </c>
      <c r="U130" s="13" t="str">
        <f aca="false">TEXT(D130,"ddd")</f>
        <v>Sun</v>
      </c>
      <c r="V130" s="13" t="n">
        <f aca="false">INT(D130)-INT(C130)</f>
        <v>4</v>
      </c>
      <c r="W130" s="13" t="str">
        <f aca="false">IF(M130="","No","Yes")</f>
        <v>Yes</v>
      </c>
      <c r="X130" s="13" t="n">
        <f aca="false">IF(AND(W130="Yes",S130&lt;&gt;""),ROUND((S130-C130)*24,1),"")</f>
        <v>4.6</v>
      </c>
      <c r="Y130" s="13" t="str">
        <f aca="false">IF(X130="","N/A",IF(X130&lt;=12,"Yes","No"))</f>
        <v>Yes</v>
      </c>
      <c r="Z130" s="13" t="str">
        <f aca="true">IF(B130="Pending",TODAY()-INT(C130),"")</f>
        <v/>
      </c>
    </row>
    <row r="131" customFormat="false" ht="15" hidden="false" customHeight="false" outlineLevel="0" collapsed="false">
      <c r="A131" s="13" t="s">
        <v>205</v>
      </c>
      <c r="B131" s="13" t="s">
        <v>39</v>
      </c>
      <c r="C131" s="14" t="n">
        <v>46113.6881944445</v>
      </c>
      <c r="D131" s="14" t="n">
        <v>46117.2708333333</v>
      </c>
      <c r="E131" s="15"/>
      <c r="F131" s="13" t="s">
        <v>58</v>
      </c>
      <c r="G131" s="13" t="s">
        <v>66</v>
      </c>
      <c r="H131" s="13" t="s">
        <v>53</v>
      </c>
      <c r="I131" s="13" t="s">
        <v>78</v>
      </c>
      <c r="J131" s="13" t="s">
        <v>131</v>
      </c>
      <c r="K131" s="13" t="s">
        <v>45</v>
      </c>
      <c r="L131" s="13" t="s">
        <v>60</v>
      </c>
      <c r="M131" s="13" t="s">
        <v>61</v>
      </c>
      <c r="N131" s="13" t="s">
        <v>62</v>
      </c>
      <c r="O131" s="13" t="s">
        <v>63</v>
      </c>
      <c r="P131" s="16"/>
      <c r="Q131" s="17"/>
      <c r="R131" s="13" t="s">
        <v>50</v>
      </c>
      <c r="S131" s="14" t="n">
        <v>46113.9729166667</v>
      </c>
      <c r="T131" s="13" t="str">
        <f aca="false">TEXT(D131,"mmm yyyy")</f>
        <v>Apr 2026</v>
      </c>
      <c r="U131" s="13" t="str">
        <f aca="false">TEXT(D131,"ddd")</f>
        <v>Sun</v>
      </c>
      <c r="V131" s="13" t="n">
        <f aca="false">INT(D131)-INT(C131)</f>
        <v>4</v>
      </c>
      <c r="W131" s="13" t="str">
        <f aca="false">IF(M131="","No","Yes")</f>
        <v>Yes</v>
      </c>
      <c r="X131" s="13" t="n">
        <f aca="false">IF(AND(W131="Yes",S131&lt;&gt;""),ROUND((S131-C131)*24,1),"")</f>
        <v>6.8</v>
      </c>
      <c r="Y131" s="13" t="str">
        <f aca="false">IF(X131="","N/A",IF(X131&lt;=12,"Yes","No"))</f>
        <v>Yes</v>
      </c>
      <c r="Z131" s="13" t="str">
        <f aca="true">IF(B131="Pending",TODAY()-INT(C131),"")</f>
        <v/>
      </c>
    </row>
    <row r="132" customFormat="false" ht="15" hidden="false" customHeight="false" outlineLevel="0" collapsed="false">
      <c r="A132" s="13" t="s">
        <v>206</v>
      </c>
      <c r="B132" s="13" t="s">
        <v>65</v>
      </c>
      <c r="C132" s="14" t="n">
        <v>46113.4805555556</v>
      </c>
      <c r="D132" s="14" t="n">
        <v>46117.5416666667</v>
      </c>
      <c r="E132" s="15"/>
      <c r="F132" s="13" t="s">
        <v>73</v>
      </c>
      <c r="G132" s="13" t="s">
        <v>41</v>
      </c>
      <c r="H132" s="13" t="s">
        <v>42</v>
      </c>
      <c r="I132" s="13" t="s">
        <v>67</v>
      </c>
      <c r="J132" s="13" t="s">
        <v>131</v>
      </c>
      <c r="K132" s="13" t="s">
        <v>45</v>
      </c>
      <c r="L132" s="13" t="s">
        <v>60</v>
      </c>
      <c r="M132" s="13"/>
      <c r="N132" s="13"/>
      <c r="O132" s="13"/>
      <c r="P132" s="16"/>
      <c r="Q132" s="17"/>
      <c r="R132" s="13" t="s">
        <v>50</v>
      </c>
      <c r="S132" s="14" t="n">
        <v>46113.8131944445</v>
      </c>
      <c r="T132" s="13" t="str">
        <f aca="false">TEXT(D132,"mmm yyyy")</f>
        <v>Apr 2026</v>
      </c>
      <c r="U132" s="13" t="str">
        <f aca="false">TEXT(D132,"ddd")</f>
        <v>Sun</v>
      </c>
      <c r="V132" s="13" t="n">
        <f aca="false">INT(D132)-INT(C132)</f>
        <v>4</v>
      </c>
      <c r="W132" s="13" t="str">
        <f aca="false">IF(M132="","No","Yes")</f>
        <v>No</v>
      </c>
      <c r="X132" s="13" t="str">
        <f aca="false">IF(AND(W132="Yes",S132&lt;&gt;""),ROUND((S132-C132)*24,1),"")</f>
        <v/>
      </c>
      <c r="Y132" s="13" t="str">
        <f aca="false">IF(X132="","N/A",IF(X132&lt;=12,"Yes","No"))</f>
        <v>N/A</v>
      </c>
      <c r="Z132" s="13" t="str">
        <f aca="true">IF(B132="Pending",TODAY()-INT(C132),"")</f>
        <v/>
      </c>
    </row>
    <row r="133" customFormat="false" ht="15" hidden="false" customHeight="false" outlineLevel="0" collapsed="false">
      <c r="A133" s="13" t="s">
        <v>207</v>
      </c>
      <c r="B133" s="13" t="s">
        <v>83</v>
      </c>
      <c r="C133" s="14" t="n">
        <v>46115.5243055556</v>
      </c>
      <c r="D133" s="14" t="n">
        <v>46119.3958333333</v>
      </c>
      <c r="E133" s="15"/>
      <c r="F133" s="13" t="s">
        <v>88</v>
      </c>
      <c r="G133" s="13" t="s">
        <v>41</v>
      </c>
      <c r="H133" s="13" t="s">
        <v>42</v>
      </c>
      <c r="I133" s="13" t="s">
        <v>53</v>
      </c>
      <c r="J133" s="13" t="s">
        <v>59</v>
      </c>
      <c r="K133" s="13" t="s">
        <v>45</v>
      </c>
      <c r="L133" s="13" t="s">
        <v>60</v>
      </c>
      <c r="M133" s="13"/>
      <c r="N133" s="13"/>
      <c r="O133" s="13"/>
      <c r="P133" s="16"/>
      <c r="Q133" s="17"/>
      <c r="R133" s="13"/>
      <c r="S133" s="14"/>
      <c r="T133" s="13" t="str">
        <f aca="false">TEXT(D133,"mmm yyyy")</f>
        <v>Apr 2026</v>
      </c>
      <c r="U133" s="13" t="str">
        <f aca="false">TEXT(D133,"ddd")</f>
        <v>Tue</v>
      </c>
      <c r="V133" s="13" t="n">
        <f aca="false">INT(D133)-INT(C133)</f>
        <v>4</v>
      </c>
      <c r="W133" s="13" t="str">
        <f aca="false">IF(M133="","No","Yes")</f>
        <v>No</v>
      </c>
      <c r="X133" s="13" t="str">
        <f aca="false">IF(AND(W133="Yes",S133&lt;&gt;""),ROUND((S133-C133)*24,1),"")</f>
        <v/>
      </c>
      <c r="Y133" s="13" t="str">
        <f aca="false">IF(X133="","N/A",IF(X133&lt;=12,"Yes","No"))</f>
        <v>N/A</v>
      </c>
      <c r="Z133" s="18" t="n">
        <f aca="true">IF(B133="Pending",TODAY()-INT(C133),"")</f>
        <v>159</v>
      </c>
    </row>
    <row r="134" customFormat="false" ht="15" hidden="false" customHeight="false" outlineLevel="0" collapsed="false">
      <c r="A134" s="13" t="s">
        <v>208</v>
      </c>
      <c r="B134" s="13" t="s">
        <v>39</v>
      </c>
      <c r="C134" s="14" t="n">
        <v>46117.3902777778</v>
      </c>
      <c r="D134" s="14" t="n">
        <v>46121.5416666667</v>
      </c>
      <c r="E134" s="15"/>
      <c r="F134" s="13" t="s">
        <v>58</v>
      </c>
      <c r="G134" s="13" t="s">
        <v>41</v>
      </c>
      <c r="H134" s="13" t="s">
        <v>42</v>
      </c>
      <c r="I134" s="13" t="s">
        <v>67</v>
      </c>
      <c r="J134" s="13" t="s">
        <v>59</v>
      </c>
      <c r="K134" s="13" t="s">
        <v>45</v>
      </c>
      <c r="L134" s="13" t="s">
        <v>60</v>
      </c>
      <c r="M134" s="13" t="s">
        <v>54</v>
      </c>
      <c r="N134" s="13" t="s">
        <v>48</v>
      </c>
      <c r="O134" s="13" t="s">
        <v>49</v>
      </c>
      <c r="P134" s="16"/>
      <c r="Q134" s="17"/>
      <c r="R134" s="13" t="s">
        <v>50</v>
      </c>
      <c r="S134" s="14" t="n">
        <v>46117.6680555556</v>
      </c>
      <c r="T134" s="13" t="str">
        <f aca="false">TEXT(D134,"mmm yyyy")</f>
        <v>Apr 2026</v>
      </c>
      <c r="U134" s="13" t="str">
        <f aca="false">TEXT(D134,"ddd")</f>
        <v>Thu</v>
      </c>
      <c r="V134" s="13" t="n">
        <f aca="false">INT(D134)-INT(C134)</f>
        <v>4</v>
      </c>
      <c r="W134" s="13" t="str">
        <f aca="false">IF(M134="","No","Yes")</f>
        <v>Yes</v>
      </c>
      <c r="X134" s="13" t="n">
        <f aca="false">IF(AND(W134="Yes",S134&lt;&gt;""),ROUND((S134-C134)*24,1),"")</f>
        <v>6.7</v>
      </c>
      <c r="Y134" s="13" t="str">
        <f aca="false">IF(X134="","N/A",IF(X134&lt;=12,"Yes","No"))</f>
        <v>Yes</v>
      </c>
      <c r="Z134" s="13" t="str">
        <f aca="true">IF(B134="Pending",TODAY()-INT(C134),"")</f>
        <v/>
      </c>
    </row>
    <row r="135" customFormat="false" ht="15" hidden="false" customHeight="false" outlineLevel="0" collapsed="false">
      <c r="A135" s="13" t="s">
        <v>209</v>
      </c>
      <c r="B135" s="13" t="s">
        <v>39</v>
      </c>
      <c r="C135" s="14" t="n">
        <v>46118.4340277778</v>
      </c>
      <c r="D135" s="14" t="n">
        <v>46122.2916666667</v>
      </c>
      <c r="E135" s="15"/>
      <c r="F135" s="13" t="s">
        <v>88</v>
      </c>
      <c r="G135" s="13" t="s">
        <v>66</v>
      </c>
      <c r="H135" s="13" t="s">
        <v>42</v>
      </c>
      <c r="I135" s="13" t="s">
        <v>53</v>
      </c>
      <c r="J135" s="13" t="s">
        <v>131</v>
      </c>
      <c r="K135" s="13" t="s">
        <v>45</v>
      </c>
      <c r="L135" s="13" t="s">
        <v>60</v>
      </c>
      <c r="M135" s="13" t="s">
        <v>47</v>
      </c>
      <c r="N135" s="13" t="s">
        <v>79</v>
      </c>
      <c r="O135" s="13" t="s">
        <v>80</v>
      </c>
      <c r="P135" s="16"/>
      <c r="Q135" s="17"/>
      <c r="R135" s="13" t="s">
        <v>50</v>
      </c>
      <c r="S135" s="14" t="n">
        <v>46118.8027777778</v>
      </c>
      <c r="T135" s="13" t="str">
        <f aca="false">TEXT(D135,"mmm yyyy")</f>
        <v>Apr 2026</v>
      </c>
      <c r="U135" s="13" t="str">
        <f aca="false">TEXT(D135,"ddd")</f>
        <v>Fri</v>
      </c>
      <c r="V135" s="13" t="n">
        <f aca="false">INT(D135)-INT(C135)</f>
        <v>4</v>
      </c>
      <c r="W135" s="13" t="str">
        <f aca="false">IF(M135="","No","Yes")</f>
        <v>Yes</v>
      </c>
      <c r="X135" s="13" t="n">
        <f aca="false">IF(AND(W135="Yes",S135&lt;&gt;""),ROUND((S135-C135)*24,1),"")</f>
        <v>8.9</v>
      </c>
      <c r="Y135" s="13" t="str">
        <f aca="false">IF(X135="","N/A",IF(X135&lt;=12,"Yes","No"))</f>
        <v>Yes</v>
      </c>
      <c r="Z135" s="13" t="str">
        <f aca="true">IF(B135="Pending",TODAY()-INT(C135),"")</f>
        <v/>
      </c>
    </row>
    <row r="136" customFormat="false" ht="15" hidden="false" customHeight="false" outlineLevel="0" collapsed="false">
      <c r="A136" s="13" t="s">
        <v>210</v>
      </c>
      <c r="B136" s="13" t="s">
        <v>83</v>
      </c>
      <c r="C136" s="14" t="n">
        <v>46118.6368055556</v>
      </c>
      <c r="D136" s="14" t="n">
        <v>46122.7291666667</v>
      </c>
      <c r="E136" s="15" t="n">
        <v>0.0416666666666667</v>
      </c>
      <c r="F136" s="13" t="s">
        <v>96</v>
      </c>
      <c r="G136" s="13" t="s">
        <v>41</v>
      </c>
      <c r="H136" s="13" t="s">
        <v>42</v>
      </c>
      <c r="I136" s="13" t="s">
        <v>43</v>
      </c>
      <c r="J136" s="13" t="s">
        <v>44</v>
      </c>
      <c r="K136" s="13" t="s">
        <v>45</v>
      </c>
      <c r="L136" s="13" t="s">
        <v>46</v>
      </c>
      <c r="M136" s="13"/>
      <c r="N136" s="13"/>
      <c r="O136" s="13"/>
      <c r="P136" s="16"/>
      <c r="Q136" s="17"/>
      <c r="R136" s="13"/>
      <c r="S136" s="14"/>
      <c r="T136" s="13" t="str">
        <f aca="false">TEXT(D136,"mmm yyyy")</f>
        <v>Apr 2026</v>
      </c>
      <c r="U136" s="13" t="str">
        <f aca="false">TEXT(D136,"ddd")</f>
        <v>Fri</v>
      </c>
      <c r="V136" s="13" t="n">
        <f aca="false">INT(D136)-INT(C136)</f>
        <v>4</v>
      </c>
      <c r="W136" s="13" t="str">
        <f aca="false">IF(M136="","No","Yes")</f>
        <v>No</v>
      </c>
      <c r="X136" s="13" t="str">
        <f aca="false">IF(AND(W136="Yes",S136&lt;&gt;""),ROUND((S136-C136)*24,1),"")</f>
        <v/>
      </c>
      <c r="Y136" s="13" t="str">
        <f aca="false">IF(X136="","N/A",IF(X136&lt;=12,"Yes","No"))</f>
        <v>N/A</v>
      </c>
      <c r="Z136" s="18" t="n">
        <f aca="true">IF(B136="Pending",TODAY()-INT(C136),"")</f>
        <v>156</v>
      </c>
    </row>
    <row r="137" customFormat="false" ht="15" hidden="false" customHeight="false" outlineLevel="0" collapsed="false">
      <c r="A137" s="13" t="s">
        <v>211</v>
      </c>
      <c r="B137" s="13" t="s">
        <v>39</v>
      </c>
      <c r="C137" s="14" t="n">
        <v>46120.5215277778</v>
      </c>
      <c r="D137" s="14" t="n">
        <v>46124.3958333333</v>
      </c>
      <c r="E137" s="15" t="n">
        <v>0.708333333333333</v>
      </c>
      <c r="F137" s="13" t="s">
        <v>58</v>
      </c>
      <c r="G137" s="13" t="s">
        <v>41</v>
      </c>
      <c r="H137" s="13" t="s">
        <v>53</v>
      </c>
      <c r="I137" s="13" t="s">
        <v>43</v>
      </c>
      <c r="J137" s="13" t="s">
        <v>44</v>
      </c>
      <c r="K137" s="13" t="s">
        <v>45</v>
      </c>
      <c r="L137" s="13" t="s">
        <v>46</v>
      </c>
      <c r="M137" s="13" t="s">
        <v>54</v>
      </c>
      <c r="N137" s="13" t="s">
        <v>79</v>
      </c>
      <c r="O137" s="13" t="s">
        <v>80</v>
      </c>
      <c r="P137" s="16"/>
      <c r="Q137" s="17"/>
      <c r="R137" s="13" t="s">
        <v>50</v>
      </c>
      <c r="S137" s="14" t="n">
        <v>46121.8590277778</v>
      </c>
      <c r="T137" s="13" t="str">
        <f aca="false">TEXT(D137,"mmm yyyy")</f>
        <v>Apr 2026</v>
      </c>
      <c r="U137" s="13" t="str">
        <f aca="false">TEXT(D137,"ddd")</f>
        <v>Sun</v>
      </c>
      <c r="V137" s="13" t="n">
        <f aca="false">INT(D137)-INT(C137)</f>
        <v>4</v>
      </c>
      <c r="W137" s="13" t="str">
        <f aca="false">IF(M137="","No","Yes")</f>
        <v>Yes</v>
      </c>
      <c r="X137" s="13" t="n">
        <f aca="false">IF(AND(W137="Yes",S137&lt;&gt;""),ROUND((S137-C137)*24,1),"")</f>
        <v>32.1</v>
      </c>
      <c r="Y137" s="13" t="str">
        <f aca="false">IF(X137="","N/A",IF(X137&lt;=12,"Yes","No"))</f>
        <v>No</v>
      </c>
      <c r="Z137" s="13" t="str">
        <f aca="true">IF(B137="Pending",TODAY()-INT(C137),"")</f>
        <v/>
      </c>
    </row>
    <row r="138" customFormat="false" ht="15" hidden="false" customHeight="false" outlineLevel="0" collapsed="false">
      <c r="A138" s="13" t="s">
        <v>212</v>
      </c>
      <c r="B138" s="13" t="s">
        <v>83</v>
      </c>
      <c r="C138" s="14" t="n">
        <v>46126.4729166667</v>
      </c>
      <c r="D138" s="14" t="n">
        <v>46130.2708333333</v>
      </c>
      <c r="E138" s="15" t="n">
        <v>0.708333333333333</v>
      </c>
      <c r="F138" s="13" t="s">
        <v>58</v>
      </c>
      <c r="G138" s="13" t="s">
        <v>66</v>
      </c>
      <c r="H138" s="13" t="s">
        <v>42</v>
      </c>
      <c r="I138" s="13" t="s">
        <v>43</v>
      </c>
      <c r="J138" s="13" t="s">
        <v>44</v>
      </c>
      <c r="K138" s="13" t="s">
        <v>45</v>
      </c>
      <c r="L138" s="13" t="s">
        <v>46</v>
      </c>
      <c r="M138" s="13"/>
      <c r="N138" s="13"/>
      <c r="O138" s="13"/>
      <c r="P138" s="16"/>
      <c r="Q138" s="17"/>
      <c r="R138" s="13"/>
      <c r="S138" s="14"/>
      <c r="T138" s="13" t="str">
        <f aca="false">TEXT(D138,"mmm yyyy")</f>
        <v>Apr 2026</v>
      </c>
      <c r="U138" s="13" t="str">
        <f aca="false">TEXT(D138,"ddd")</f>
        <v>Sat</v>
      </c>
      <c r="V138" s="13" t="n">
        <f aca="false">INT(D138)-INT(C138)</f>
        <v>4</v>
      </c>
      <c r="W138" s="13" t="str">
        <f aca="false">IF(M138="","No","Yes")</f>
        <v>No</v>
      </c>
      <c r="X138" s="13" t="str">
        <f aca="false">IF(AND(W138="Yes",S138&lt;&gt;""),ROUND((S138-C138)*24,1),"")</f>
        <v/>
      </c>
      <c r="Y138" s="13" t="str">
        <f aca="false">IF(X138="","N/A",IF(X138&lt;=12,"Yes","No"))</f>
        <v>N/A</v>
      </c>
      <c r="Z138" s="18" t="n">
        <f aca="true">IF(B138="Pending",TODAY()-INT(C138),"")</f>
        <v>148</v>
      </c>
    </row>
    <row r="139" customFormat="false" ht="15" hidden="false" customHeight="false" outlineLevel="0" collapsed="false">
      <c r="A139" s="13" t="s">
        <v>213</v>
      </c>
      <c r="B139" s="13" t="s">
        <v>83</v>
      </c>
      <c r="C139" s="14" t="n">
        <v>46128.4881944444</v>
      </c>
      <c r="D139" s="14" t="n">
        <v>46132.3333333333</v>
      </c>
      <c r="E139" s="15"/>
      <c r="F139" s="13" t="s">
        <v>96</v>
      </c>
      <c r="G139" s="13" t="s">
        <v>41</v>
      </c>
      <c r="H139" s="13" t="s">
        <v>42</v>
      </c>
      <c r="I139" s="13" t="s">
        <v>53</v>
      </c>
      <c r="J139" s="13" t="s">
        <v>131</v>
      </c>
      <c r="K139" s="13" t="s">
        <v>45</v>
      </c>
      <c r="L139" s="13" t="s">
        <v>60</v>
      </c>
      <c r="M139" s="13"/>
      <c r="N139" s="13"/>
      <c r="O139" s="13"/>
      <c r="P139" s="16"/>
      <c r="Q139" s="17"/>
      <c r="R139" s="13"/>
      <c r="S139" s="14"/>
      <c r="T139" s="13" t="str">
        <f aca="false">TEXT(D139,"mmm yyyy")</f>
        <v>Apr 2026</v>
      </c>
      <c r="U139" s="13" t="str">
        <f aca="false">TEXT(D139,"ddd")</f>
        <v>Mon</v>
      </c>
      <c r="V139" s="13" t="n">
        <f aca="false">INT(D139)-INT(C139)</f>
        <v>4</v>
      </c>
      <c r="W139" s="13" t="str">
        <f aca="false">IF(M139="","No","Yes")</f>
        <v>No</v>
      </c>
      <c r="X139" s="13" t="str">
        <f aca="false">IF(AND(W139="Yes",S139&lt;&gt;""),ROUND((S139-C139)*24,1),"")</f>
        <v/>
      </c>
      <c r="Y139" s="13" t="str">
        <f aca="false">IF(X139="","N/A",IF(X139&lt;=12,"Yes","No"))</f>
        <v>N/A</v>
      </c>
      <c r="Z139" s="18" t="n">
        <f aca="true">IF(B139="Pending",TODAY()-INT(C139),"")</f>
        <v>146</v>
      </c>
    </row>
    <row r="140" customFormat="false" ht="15" hidden="false" customHeight="false" outlineLevel="0" collapsed="false">
      <c r="A140" s="13" t="s">
        <v>214</v>
      </c>
      <c r="B140" s="13" t="s">
        <v>39</v>
      </c>
      <c r="C140" s="14" t="n">
        <v>46128.4152777778</v>
      </c>
      <c r="D140" s="14" t="n">
        <v>46132.7291666667</v>
      </c>
      <c r="E140" s="15" t="n">
        <v>0.0416666666666667</v>
      </c>
      <c r="F140" s="13" t="s">
        <v>58</v>
      </c>
      <c r="G140" s="13" t="s">
        <v>41</v>
      </c>
      <c r="H140" s="13" t="s">
        <v>42</v>
      </c>
      <c r="I140" s="13" t="s">
        <v>43</v>
      </c>
      <c r="J140" s="13" t="s">
        <v>44</v>
      </c>
      <c r="K140" s="13" t="s">
        <v>45</v>
      </c>
      <c r="L140" s="13" t="s">
        <v>46</v>
      </c>
      <c r="M140" s="13" t="s">
        <v>54</v>
      </c>
      <c r="N140" s="13" t="s">
        <v>79</v>
      </c>
      <c r="O140" s="13" t="s">
        <v>80</v>
      </c>
      <c r="P140" s="16"/>
      <c r="Q140" s="17"/>
      <c r="R140" s="13" t="s">
        <v>50</v>
      </c>
      <c r="S140" s="14" t="n">
        <v>46128.8909722222</v>
      </c>
      <c r="T140" s="13" t="str">
        <f aca="false">TEXT(D140,"mmm yyyy")</f>
        <v>Apr 2026</v>
      </c>
      <c r="U140" s="13" t="str">
        <f aca="false">TEXT(D140,"ddd")</f>
        <v>Mon</v>
      </c>
      <c r="V140" s="13" t="n">
        <f aca="false">INT(D140)-INT(C140)</f>
        <v>4</v>
      </c>
      <c r="W140" s="13" t="str">
        <f aca="false">IF(M140="","No","Yes")</f>
        <v>Yes</v>
      </c>
      <c r="X140" s="13" t="n">
        <f aca="false">IF(AND(W140="Yes",S140&lt;&gt;""),ROUND((S140-C140)*24,1),"")</f>
        <v>11.4</v>
      </c>
      <c r="Y140" s="13" t="str">
        <f aca="false">IF(X140="","N/A",IF(X140&lt;=12,"Yes","No"))</f>
        <v>Yes</v>
      </c>
      <c r="Z140" s="13" t="str">
        <f aca="true">IF(B140="Pending",TODAY()-INT(C140),"")</f>
        <v/>
      </c>
    </row>
    <row r="141" customFormat="false" ht="15" hidden="false" customHeight="false" outlineLevel="0" collapsed="false">
      <c r="A141" s="13" t="s">
        <v>215</v>
      </c>
      <c r="B141" s="13" t="s">
        <v>65</v>
      </c>
      <c r="C141" s="14" t="n">
        <v>46130.4263888889</v>
      </c>
      <c r="D141" s="14" t="n">
        <v>46134.7291666667</v>
      </c>
      <c r="E141" s="15"/>
      <c r="F141" s="13" t="s">
        <v>88</v>
      </c>
      <c r="G141" s="13" t="s">
        <v>41</v>
      </c>
      <c r="H141" s="13" t="s">
        <v>53</v>
      </c>
      <c r="I141" s="13" t="s">
        <v>42</v>
      </c>
      <c r="J141" s="13" t="s">
        <v>71</v>
      </c>
      <c r="K141" s="13" t="s">
        <v>45</v>
      </c>
      <c r="L141" s="13" t="s">
        <v>60</v>
      </c>
      <c r="M141" s="13"/>
      <c r="N141" s="13"/>
      <c r="O141" s="13"/>
      <c r="P141" s="16"/>
      <c r="Q141" s="17"/>
      <c r="R141" s="13" t="s">
        <v>50</v>
      </c>
      <c r="S141" s="14" t="n">
        <v>46130.5319444445</v>
      </c>
      <c r="T141" s="13" t="str">
        <f aca="false">TEXT(D141,"mmm yyyy")</f>
        <v>Apr 2026</v>
      </c>
      <c r="U141" s="13" t="str">
        <f aca="false">TEXT(D141,"ddd")</f>
        <v>Wed</v>
      </c>
      <c r="V141" s="13" t="n">
        <f aca="false">INT(D141)-INT(C141)</f>
        <v>4</v>
      </c>
      <c r="W141" s="13" t="str">
        <f aca="false">IF(M141="","No","Yes")</f>
        <v>No</v>
      </c>
      <c r="X141" s="13" t="str">
        <f aca="false">IF(AND(W141="Yes",S141&lt;&gt;""),ROUND((S141-C141)*24,1),"")</f>
        <v/>
      </c>
      <c r="Y141" s="13" t="str">
        <f aca="false">IF(X141="","N/A",IF(X141&lt;=12,"Yes","No"))</f>
        <v>N/A</v>
      </c>
      <c r="Z141" s="13" t="str">
        <f aca="true">IF(B141="Pending",TODAY()-INT(C141),"")</f>
        <v/>
      </c>
    </row>
    <row r="142" customFormat="false" ht="15" hidden="false" customHeight="false" outlineLevel="0" collapsed="false">
      <c r="A142" s="13" t="s">
        <v>216</v>
      </c>
      <c r="B142" s="13" t="s">
        <v>69</v>
      </c>
      <c r="C142" s="14" t="n">
        <v>46131.4486111111</v>
      </c>
      <c r="D142" s="14" t="n">
        <v>46135.7291666667</v>
      </c>
      <c r="E142" s="15"/>
      <c r="F142" s="13" t="s">
        <v>58</v>
      </c>
      <c r="G142" s="13" t="s">
        <v>66</v>
      </c>
      <c r="H142" s="13" t="s">
        <v>53</v>
      </c>
      <c r="I142" s="13" t="s">
        <v>42</v>
      </c>
      <c r="J142" s="13" t="s">
        <v>59</v>
      </c>
      <c r="K142" s="13" t="s">
        <v>45</v>
      </c>
      <c r="L142" s="13" t="s">
        <v>60</v>
      </c>
      <c r="M142" s="13"/>
      <c r="N142" s="13"/>
      <c r="O142" s="13"/>
      <c r="P142" s="16"/>
      <c r="Q142" s="17"/>
      <c r="R142" s="13" t="s">
        <v>50</v>
      </c>
      <c r="S142" s="14" t="n">
        <v>46131.6680555556</v>
      </c>
      <c r="T142" s="13" t="str">
        <f aca="false">TEXT(D142,"mmm yyyy")</f>
        <v>Apr 2026</v>
      </c>
      <c r="U142" s="13" t="str">
        <f aca="false">TEXT(D142,"ddd")</f>
        <v>Thu</v>
      </c>
      <c r="V142" s="13" t="n">
        <f aca="false">INT(D142)-INT(C142)</f>
        <v>4</v>
      </c>
      <c r="W142" s="13" t="str">
        <f aca="false">IF(M142="","No","Yes")</f>
        <v>No</v>
      </c>
      <c r="X142" s="13" t="str">
        <f aca="false">IF(AND(W142="Yes",S142&lt;&gt;""),ROUND((S142-C142)*24,1),"")</f>
        <v/>
      </c>
      <c r="Y142" s="13" t="str">
        <f aca="false">IF(X142="","N/A",IF(X142&lt;=12,"Yes","No"))</f>
        <v>N/A</v>
      </c>
      <c r="Z142" s="13" t="str">
        <f aca="true">IF(B142="Pending",TODAY()-INT(C142),"")</f>
        <v/>
      </c>
    </row>
    <row r="143" customFormat="false" ht="15" hidden="false" customHeight="false" outlineLevel="0" collapsed="false">
      <c r="A143" s="13" t="s">
        <v>217</v>
      </c>
      <c r="B143" s="13" t="s">
        <v>39</v>
      </c>
      <c r="C143" s="14" t="n">
        <v>46132.4604166667</v>
      </c>
      <c r="D143" s="14" t="n">
        <v>46136.2708333333</v>
      </c>
      <c r="E143" s="15" t="n">
        <v>0.708333333333333</v>
      </c>
      <c r="F143" s="13" t="s">
        <v>40</v>
      </c>
      <c r="G143" s="13" t="s">
        <v>66</v>
      </c>
      <c r="H143" s="13" t="s">
        <v>53</v>
      </c>
      <c r="I143" s="13" t="s">
        <v>43</v>
      </c>
      <c r="J143" s="13" t="s">
        <v>44</v>
      </c>
      <c r="K143" s="13" t="s">
        <v>45</v>
      </c>
      <c r="L143" s="13" t="s">
        <v>46</v>
      </c>
      <c r="M143" s="13" t="s">
        <v>54</v>
      </c>
      <c r="N143" s="13" t="s">
        <v>62</v>
      </c>
      <c r="O143" s="13" t="s">
        <v>63</v>
      </c>
      <c r="P143" s="16"/>
      <c r="Q143" s="17"/>
      <c r="R143" s="13" t="s">
        <v>50</v>
      </c>
      <c r="S143" s="14" t="n">
        <v>46132.7798611111</v>
      </c>
      <c r="T143" s="13" t="str">
        <f aca="false">TEXT(D143,"mmm yyyy")</f>
        <v>Apr 2026</v>
      </c>
      <c r="U143" s="13" t="str">
        <f aca="false">TEXT(D143,"ddd")</f>
        <v>Fri</v>
      </c>
      <c r="V143" s="13" t="n">
        <f aca="false">INT(D143)-INT(C143)</f>
        <v>4</v>
      </c>
      <c r="W143" s="13" t="str">
        <f aca="false">IF(M143="","No","Yes")</f>
        <v>Yes</v>
      </c>
      <c r="X143" s="13" t="n">
        <f aca="false">IF(AND(W143="Yes",S143&lt;&gt;""),ROUND((S143-C143)*24,1),"")</f>
        <v>7.7</v>
      </c>
      <c r="Y143" s="13" t="str">
        <f aca="false">IF(X143="","N/A",IF(X143&lt;=12,"Yes","No"))</f>
        <v>Yes</v>
      </c>
      <c r="Z143" s="13" t="str">
        <f aca="true">IF(B143="Pending",TODAY()-INT(C143),"")</f>
        <v/>
      </c>
    </row>
    <row r="144" customFormat="false" ht="15" hidden="false" customHeight="false" outlineLevel="0" collapsed="false">
      <c r="A144" s="13" t="s">
        <v>218</v>
      </c>
      <c r="B144" s="13" t="s">
        <v>69</v>
      </c>
      <c r="C144" s="14" t="n">
        <v>46134.5430555556</v>
      </c>
      <c r="D144" s="14" t="n">
        <v>46138.5416666667</v>
      </c>
      <c r="E144" s="15" t="n">
        <v>0.708333333333333</v>
      </c>
      <c r="F144" s="13" t="s">
        <v>40</v>
      </c>
      <c r="G144" s="13" t="s">
        <v>41</v>
      </c>
      <c r="H144" s="13" t="s">
        <v>53</v>
      </c>
      <c r="I144" s="13" t="s">
        <v>43</v>
      </c>
      <c r="J144" s="13" t="s">
        <v>44</v>
      </c>
      <c r="K144" s="13" t="s">
        <v>45</v>
      </c>
      <c r="L144" s="13" t="s">
        <v>46</v>
      </c>
      <c r="M144" s="13"/>
      <c r="N144" s="13"/>
      <c r="O144" s="13"/>
      <c r="P144" s="16"/>
      <c r="Q144" s="17"/>
      <c r="R144" s="13" t="s">
        <v>50</v>
      </c>
      <c r="S144" s="14" t="n">
        <v>46134.9979166667</v>
      </c>
      <c r="T144" s="13" t="str">
        <f aca="false">TEXT(D144,"mmm yyyy")</f>
        <v>Apr 2026</v>
      </c>
      <c r="U144" s="13" t="str">
        <f aca="false">TEXT(D144,"ddd")</f>
        <v>Sun</v>
      </c>
      <c r="V144" s="13" t="n">
        <f aca="false">INT(D144)-INT(C144)</f>
        <v>4</v>
      </c>
      <c r="W144" s="13" t="str">
        <f aca="false">IF(M144="","No","Yes")</f>
        <v>No</v>
      </c>
      <c r="X144" s="13" t="str">
        <f aca="false">IF(AND(W144="Yes",S144&lt;&gt;""),ROUND((S144-C144)*24,1),"")</f>
        <v/>
      </c>
      <c r="Y144" s="13" t="str">
        <f aca="false">IF(X144="","N/A",IF(X144&lt;=12,"Yes","No"))</f>
        <v>N/A</v>
      </c>
      <c r="Z144" s="13" t="str">
        <f aca="true">IF(B144="Pending",TODAY()-INT(C144),"")</f>
        <v/>
      </c>
    </row>
    <row r="145" customFormat="false" ht="15" hidden="false" customHeight="false" outlineLevel="0" collapsed="false">
      <c r="A145" s="13" t="s">
        <v>219</v>
      </c>
      <c r="B145" s="13" t="s">
        <v>65</v>
      </c>
      <c r="C145" s="14" t="n">
        <v>46135.5534722222</v>
      </c>
      <c r="D145" s="14" t="n">
        <v>46139.3958333333</v>
      </c>
      <c r="E145" s="15"/>
      <c r="F145" s="13" t="s">
        <v>58</v>
      </c>
      <c r="G145" s="13" t="s">
        <v>41</v>
      </c>
      <c r="H145" s="13" t="s">
        <v>42</v>
      </c>
      <c r="I145" s="13" t="s">
        <v>53</v>
      </c>
      <c r="J145" s="13" t="s">
        <v>59</v>
      </c>
      <c r="K145" s="13" t="s">
        <v>45</v>
      </c>
      <c r="L145" s="13" t="s">
        <v>60</v>
      </c>
      <c r="M145" s="13"/>
      <c r="N145" s="13"/>
      <c r="O145" s="13"/>
      <c r="P145" s="16"/>
      <c r="Q145" s="17"/>
      <c r="R145" s="13" t="s">
        <v>50</v>
      </c>
      <c r="S145" s="14" t="n">
        <v>46135.6354166667</v>
      </c>
      <c r="T145" s="13" t="str">
        <f aca="false">TEXT(D145,"mmm yyyy")</f>
        <v>Apr 2026</v>
      </c>
      <c r="U145" s="13" t="str">
        <f aca="false">TEXT(D145,"ddd")</f>
        <v>Mon</v>
      </c>
      <c r="V145" s="13" t="n">
        <f aca="false">INT(D145)-INT(C145)</f>
        <v>4</v>
      </c>
      <c r="W145" s="13" t="str">
        <f aca="false">IF(M145="","No","Yes")</f>
        <v>No</v>
      </c>
      <c r="X145" s="13" t="str">
        <f aca="false">IF(AND(W145="Yes",S145&lt;&gt;""),ROUND((S145-C145)*24,1),"")</f>
        <v/>
      </c>
      <c r="Y145" s="13" t="str">
        <f aca="false">IF(X145="","N/A",IF(X145&lt;=12,"Yes","No"))</f>
        <v>N/A</v>
      </c>
      <c r="Z145" s="13" t="str">
        <f aca="true">IF(B145="Pending",TODAY()-INT(C145),"")</f>
        <v/>
      </c>
    </row>
    <row r="146" customFormat="false" ht="15" hidden="false" customHeight="false" outlineLevel="0" collapsed="false">
      <c r="A146" s="13" t="s">
        <v>220</v>
      </c>
      <c r="B146" s="13" t="s">
        <v>69</v>
      </c>
      <c r="C146" s="14" t="n">
        <v>46137.3861111111</v>
      </c>
      <c r="D146" s="14" t="n">
        <v>46140.3958333333</v>
      </c>
      <c r="E146" s="15" t="n">
        <v>0.708333333333333</v>
      </c>
      <c r="F146" s="13" t="s">
        <v>96</v>
      </c>
      <c r="G146" s="13" t="s">
        <v>41</v>
      </c>
      <c r="H146" s="13" t="s">
        <v>42</v>
      </c>
      <c r="I146" s="13" t="s">
        <v>43</v>
      </c>
      <c r="J146" s="13" t="s">
        <v>44</v>
      </c>
      <c r="K146" s="13" t="s">
        <v>45</v>
      </c>
      <c r="L146" s="13" t="s">
        <v>46</v>
      </c>
      <c r="M146" s="13"/>
      <c r="N146" s="13"/>
      <c r="O146" s="13"/>
      <c r="P146" s="16"/>
      <c r="Q146" s="17"/>
      <c r="R146" s="13" t="s">
        <v>50</v>
      </c>
      <c r="S146" s="14" t="n">
        <v>46137.7201388889</v>
      </c>
      <c r="T146" s="13" t="str">
        <f aca="false">TEXT(D146,"mmm yyyy")</f>
        <v>Apr 2026</v>
      </c>
      <c r="U146" s="13" t="str">
        <f aca="false">TEXT(D146,"ddd")</f>
        <v>Tue</v>
      </c>
      <c r="V146" s="13" t="n">
        <f aca="false">INT(D146)-INT(C146)</f>
        <v>3</v>
      </c>
      <c r="W146" s="13" t="str">
        <f aca="false">IF(M146="","No","Yes")</f>
        <v>No</v>
      </c>
      <c r="X146" s="13" t="str">
        <f aca="false">IF(AND(W146="Yes",S146&lt;&gt;""),ROUND((S146-C146)*24,1),"")</f>
        <v/>
      </c>
      <c r="Y146" s="13" t="str">
        <f aca="false">IF(X146="","N/A",IF(X146&lt;=12,"Yes","No"))</f>
        <v>N/A</v>
      </c>
      <c r="Z146" s="13" t="str">
        <f aca="true">IF(B146="Pending",TODAY()-INT(C146),"")</f>
        <v/>
      </c>
    </row>
    <row r="147" customFormat="false" ht="15" hidden="false" customHeight="false" outlineLevel="0" collapsed="false">
      <c r="A147" s="13" t="s">
        <v>221</v>
      </c>
      <c r="B147" s="13" t="s">
        <v>39</v>
      </c>
      <c r="C147" s="14" t="n">
        <v>46143.4069444445</v>
      </c>
      <c r="D147" s="14" t="n">
        <v>46147.7291666667</v>
      </c>
      <c r="E147" s="15" t="n">
        <v>0.0416666666666667</v>
      </c>
      <c r="F147" s="13" t="s">
        <v>96</v>
      </c>
      <c r="G147" s="13" t="s">
        <v>66</v>
      </c>
      <c r="H147" s="13" t="s">
        <v>53</v>
      </c>
      <c r="I147" s="13" t="s">
        <v>43</v>
      </c>
      <c r="J147" s="13" t="s">
        <v>44</v>
      </c>
      <c r="K147" s="13" t="s">
        <v>45</v>
      </c>
      <c r="L147" s="13" t="s">
        <v>46</v>
      </c>
      <c r="M147" s="13" t="s">
        <v>54</v>
      </c>
      <c r="N147" s="13" t="s">
        <v>55</v>
      </c>
      <c r="O147" s="13" t="s">
        <v>56</v>
      </c>
      <c r="P147" s="16"/>
      <c r="Q147" s="17"/>
      <c r="R147" s="13" t="s">
        <v>50</v>
      </c>
      <c r="S147" s="14" t="n">
        <v>46143.8013888889</v>
      </c>
      <c r="T147" s="13" t="str">
        <f aca="false">TEXT(D147,"mmm yyyy")</f>
        <v>May 2026</v>
      </c>
      <c r="U147" s="13" t="str">
        <f aca="false">TEXT(D147,"ddd")</f>
        <v>Tue</v>
      </c>
      <c r="V147" s="13" t="n">
        <f aca="false">INT(D147)-INT(C147)</f>
        <v>4</v>
      </c>
      <c r="W147" s="13" t="str">
        <f aca="false">IF(M147="","No","Yes")</f>
        <v>Yes</v>
      </c>
      <c r="X147" s="13" t="n">
        <f aca="false">IF(AND(W147="Yes",S147&lt;&gt;""),ROUND((S147-C147)*24,1),"")</f>
        <v>9.5</v>
      </c>
      <c r="Y147" s="13" t="str">
        <f aca="false">IF(X147="","N/A",IF(X147&lt;=12,"Yes","No"))</f>
        <v>Yes</v>
      </c>
      <c r="Z147" s="13" t="str">
        <f aca="true">IF(B147="Pending",TODAY()-INT(C147),"")</f>
        <v/>
      </c>
    </row>
    <row r="148" customFormat="false" ht="15" hidden="false" customHeight="false" outlineLevel="0" collapsed="false">
      <c r="A148" s="13" t="s">
        <v>222</v>
      </c>
      <c r="B148" s="13" t="s">
        <v>39</v>
      </c>
      <c r="C148" s="14" t="n">
        <v>46145.4152777778</v>
      </c>
      <c r="D148" s="14" t="n">
        <v>46149.3333333333</v>
      </c>
      <c r="E148" s="15"/>
      <c r="F148" s="13" t="s">
        <v>96</v>
      </c>
      <c r="G148" s="13" t="s">
        <v>66</v>
      </c>
      <c r="H148" s="13" t="s">
        <v>42</v>
      </c>
      <c r="I148" s="13" t="s">
        <v>53</v>
      </c>
      <c r="J148" s="13" t="s">
        <v>44</v>
      </c>
      <c r="K148" s="13" t="s">
        <v>45</v>
      </c>
      <c r="L148" s="13" t="s">
        <v>60</v>
      </c>
      <c r="M148" s="13" t="s">
        <v>61</v>
      </c>
      <c r="N148" s="13" t="s">
        <v>62</v>
      </c>
      <c r="O148" s="13" t="s">
        <v>63</v>
      </c>
      <c r="P148" s="16"/>
      <c r="Q148" s="17"/>
      <c r="R148" s="13" t="s">
        <v>50</v>
      </c>
      <c r="S148" s="14" t="n">
        <v>46145.575</v>
      </c>
      <c r="T148" s="13" t="str">
        <f aca="false">TEXT(D148,"mmm yyyy")</f>
        <v>May 2026</v>
      </c>
      <c r="U148" s="13" t="str">
        <f aca="false">TEXT(D148,"ddd")</f>
        <v>Thu</v>
      </c>
      <c r="V148" s="13" t="n">
        <f aca="false">INT(D148)-INT(C148)</f>
        <v>4</v>
      </c>
      <c r="W148" s="13" t="str">
        <f aca="false">IF(M148="","No","Yes")</f>
        <v>Yes</v>
      </c>
      <c r="X148" s="13" t="n">
        <f aca="false">IF(AND(W148="Yes",S148&lt;&gt;""),ROUND((S148-C148)*24,1),"")</f>
        <v>3.8</v>
      </c>
      <c r="Y148" s="13" t="str">
        <f aca="false">IF(X148="","N/A",IF(X148&lt;=12,"Yes","No"))</f>
        <v>Yes</v>
      </c>
      <c r="Z148" s="13" t="str">
        <f aca="true">IF(B148="Pending",TODAY()-INT(C148),"")</f>
        <v/>
      </c>
    </row>
    <row r="149" customFormat="false" ht="15" hidden="false" customHeight="false" outlineLevel="0" collapsed="false">
      <c r="A149" s="13" t="s">
        <v>223</v>
      </c>
      <c r="B149" s="13" t="s">
        <v>65</v>
      </c>
      <c r="C149" s="14" t="n">
        <v>46145.7409722222</v>
      </c>
      <c r="D149" s="14" t="n">
        <v>46149.5416666667</v>
      </c>
      <c r="E149" s="15" t="n">
        <v>0.708333333333333</v>
      </c>
      <c r="F149" s="13" t="s">
        <v>58</v>
      </c>
      <c r="G149" s="13" t="s">
        <v>41</v>
      </c>
      <c r="H149" s="13" t="s">
        <v>53</v>
      </c>
      <c r="I149" s="13" t="s">
        <v>43</v>
      </c>
      <c r="J149" s="13" t="s">
        <v>44</v>
      </c>
      <c r="K149" s="13" t="s">
        <v>45</v>
      </c>
      <c r="L149" s="13" t="s">
        <v>46</v>
      </c>
      <c r="M149" s="13"/>
      <c r="N149" s="13"/>
      <c r="O149" s="13"/>
      <c r="P149" s="16"/>
      <c r="Q149" s="17"/>
      <c r="R149" s="13" t="s">
        <v>50</v>
      </c>
      <c r="S149" s="14" t="n">
        <v>46146.025</v>
      </c>
      <c r="T149" s="13" t="str">
        <f aca="false">TEXT(D149,"mmm yyyy")</f>
        <v>May 2026</v>
      </c>
      <c r="U149" s="13" t="str">
        <f aca="false">TEXT(D149,"ddd")</f>
        <v>Thu</v>
      </c>
      <c r="V149" s="13" t="n">
        <f aca="false">INT(D149)-INT(C149)</f>
        <v>4</v>
      </c>
      <c r="W149" s="13" t="str">
        <f aca="false">IF(M149="","No","Yes")</f>
        <v>No</v>
      </c>
      <c r="X149" s="13" t="str">
        <f aca="false">IF(AND(W149="Yes",S149&lt;&gt;""),ROUND((S149-C149)*24,1),"")</f>
        <v/>
      </c>
      <c r="Y149" s="13" t="str">
        <f aca="false">IF(X149="","N/A",IF(X149&lt;=12,"Yes","No"))</f>
        <v>N/A</v>
      </c>
      <c r="Z149" s="13" t="str">
        <f aca="true">IF(B149="Pending",TODAY()-INT(C149),"")</f>
        <v/>
      </c>
    </row>
    <row r="150" customFormat="false" ht="15" hidden="false" customHeight="false" outlineLevel="0" collapsed="false">
      <c r="A150" s="13" t="s">
        <v>224</v>
      </c>
      <c r="B150" s="13" t="s">
        <v>83</v>
      </c>
      <c r="C150" s="14" t="n">
        <v>46145.4840277778</v>
      </c>
      <c r="D150" s="14" t="n">
        <v>46149.7291666667</v>
      </c>
      <c r="E150" s="15"/>
      <c r="F150" s="13" t="s">
        <v>96</v>
      </c>
      <c r="G150" s="13" t="s">
        <v>66</v>
      </c>
      <c r="H150" s="13" t="s">
        <v>53</v>
      </c>
      <c r="I150" s="13" t="s">
        <v>78</v>
      </c>
      <c r="J150" s="13" t="s">
        <v>71</v>
      </c>
      <c r="K150" s="13" t="s">
        <v>45</v>
      </c>
      <c r="L150" s="13" t="s">
        <v>60</v>
      </c>
      <c r="M150" s="13"/>
      <c r="N150" s="13"/>
      <c r="O150" s="13"/>
      <c r="P150" s="16"/>
      <c r="Q150" s="17"/>
      <c r="R150" s="13"/>
      <c r="S150" s="14"/>
      <c r="T150" s="13" t="str">
        <f aca="false">TEXT(D150,"mmm yyyy")</f>
        <v>May 2026</v>
      </c>
      <c r="U150" s="13" t="str">
        <f aca="false">TEXT(D150,"ddd")</f>
        <v>Thu</v>
      </c>
      <c r="V150" s="13" t="n">
        <f aca="false">INT(D150)-INT(C150)</f>
        <v>4</v>
      </c>
      <c r="W150" s="13" t="str">
        <f aca="false">IF(M150="","No","Yes")</f>
        <v>No</v>
      </c>
      <c r="X150" s="13" t="str">
        <f aca="false">IF(AND(W150="Yes",S150&lt;&gt;""),ROUND((S150-C150)*24,1),"")</f>
        <v/>
      </c>
      <c r="Y150" s="13" t="str">
        <f aca="false">IF(X150="","N/A",IF(X150&lt;=12,"Yes","No"))</f>
        <v>N/A</v>
      </c>
      <c r="Z150" s="18" t="n">
        <f aca="true">IF(B150="Pending",TODAY()-INT(C150),"")</f>
        <v>129</v>
      </c>
    </row>
    <row r="151" customFormat="false" ht="15" hidden="false" customHeight="false" outlineLevel="0" collapsed="false">
      <c r="A151" s="13" t="s">
        <v>225</v>
      </c>
      <c r="B151" s="13" t="s">
        <v>65</v>
      </c>
      <c r="C151" s="14" t="n">
        <v>46147.6340277778</v>
      </c>
      <c r="D151" s="14" t="n">
        <v>46151.5416666667</v>
      </c>
      <c r="E151" s="15"/>
      <c r="F151" s="13" t="s">
        <v>52</v>
      </c>
      <c r="G151" s="13" t="s">
        <v>66</v>
      </c>
      <c r="H151" s="13" t="s">
        <v>53</v>
      </c>
      <c r="I151" s="13" t="s">
        <v>42</v>
      </c>
      <c r="J151" s="13" t="s">
        <v>59</v>
      </c>
      <c r="K151" s="13" t="s">
        <v>45</v>
      </c>
      <c r="L151" s="13" t="s">
        <v>60</v>
      </c>
      <c r="M151" s="13"/>
      <c r="N151" s="13"/>
      <c r="O151" s="13"/>
      <c r="P151" s="16"/>
      <c r="Q151" s="17"/>
      <c r="R151" s="13" t="s">
        <v>50</v>
      </c>
      <c r="S151" s="14" t="n">
        <v>46147.9597222222</v>
      </c>
      <c r="T151" s="13" t="str">
        <f aca="false">TEXT(D151,"mmm yyyy")</f>
        <v>May 2026</v>
      </c>
      <c r="U151" s="13" t="str">
        <f aca="false">TEXT(D151,"ddd")</f>
        <v>Sat</v>
      </c>
      <c r="V151" s="13" t="n">
        <f aca="false">INT(D151)-INT(C151)</f>
        <v>4</v>
      </c>
      <c r="W151" s="13" t="str">
        <f aca="false">IF(M151="","No","Yes")</f>
        <v>No</v>
      </c>
      <c r="X151" s="13" t="str">
        <f aca="false">IF(AND(W151="Yes",S151&lt;&gt;""),ROUND((S151-C151)*24,1),"")</f>
        <v/>
      </c>
      <c r="Y151" s="13" t="str">
        <f aca="false">IF(X151="","N/A",IF(X151&lt;=12,"Yes","No"))</f>
        <v>N/A</v>
      </c>
      <c r="Z151" s="13" t="str">
        <f aca="true">IF(B151="Pending",TODAY()-INT(C151),"")</f>
        <v/>
      </c>
    </row>
    <row r="152" customFormat="false" ht="15" hidden="false" customHeight="false" outlineLevel="0" collapsed="false">
      <c r="A152" s="13" t="s">
        <v>226</v>
      </c>
      <c r="B152" s="13" t="s">
        <v>39</v>
      </c>
      <c r="C152" s="14" t="n">
        <v>46148.69375</v>
      </c>
      <c r="D152" s="14" t="n">
        <v>46152.5416666667</v>
      </c>
      <c r="E152" s="15" t="n">
        <v>0.708333333333333</v>
      </c>
      <c r="F152" s="13" t="s">
        <v>40</v>
      </c>
      <c r="G152" s="13" t="s">
        <v>41</v>
      </c>
      <c r="H152" s="13" t="s">
        <v>53</v>
      </c>
      <c r="I152" s="13" t="s">
        <v>43</v>
      </c>
      <c r="J152" s="13" t="s">
        <v>44</v>
      </c>
      <c r="K152" s="13" t="s">
        <v>45</v>
      </c>
      <c r="L152" s="13" t="s">
        <v>46</v>
      </c>
      <c r="M152" s="13" t="s">
        <v>54</v>
      </c>
      <c r="N152" s="13" t="s">
        <v>62</v>
      </c>
      <c r="O152" s="13" t="s">
        <v>63</v>
      </c>
      <c r="P152" s="16"/>
      <c r="Q152" s="17"/>
      <c r="R152" s="13" t="s">
        <v>50</v>
      </c>
      <c r="S152" s="14" t="n">
        <v>46148.86875</v>
      </c>
      <c r="T152" s="13" t="str">
        <f aca="false">TEXT(D152,"mmm yyyy")</f>
        <v>May 2026</v>
      </c>
      <c r="U152" s="13" t="str">
        <f aca="false">TEXT(D152,"ddd")</f>
        <v>Sun</v>
      </c>
      <c r="V152" s="13" t="n">
        <f aca="false">INT(D152)-INT(C152)</f>
        <v>4</v>
      </c>
      <c r="W152" s="13" t="str">
        <f aca="false">IF(M152="","No","Yes")</f>
        <v>Yes</v>
      </c>
      <c r="X152" s="13" t="n">
        <f aca="false">IF(AND(W152="Yes",S152&lt;&gt;""),ROUND((S152-C152)*24,1),"")</f>
        <v>4.2</v>
      </c>
      <c r="Y152" s="13" t="str">
        <f aca="false">IF(X152="","N/A",IF(X152&lt;=12,"Yes","No"))</f>
        <v>Yes</v>
      </c>
      <c r="Z152" s="13" t="str">
        <f aca="true">IF(B152="Pending",TODAY()-INT(C152),"")</f>
        <v/>
      </c>
    </row>
    <row r="153" customFormat="false" ht="15" hidden="false" customHeight="false" outlineLevel="0" collapsed="false">
      <c r="A153" s="13" t="s">
        <v>227</v>
      </c>
      <c r="B153" s="13" t="s">
        <v>39</v>
      </c>
      <c r="C153" s="14" t="n">
        <v>46148.7361111111</v>
      </c>
      <c r="D153" s="14" t="n">
        <v>46152.5416666667</v>
      </c>
      <c r="E153" s="15"/>
      <c r="F153" s="13" t="s">
        <v>73</v>
      </c>
      <c r="G153" s="13" t="s">
        <v>66</v>
      </c>
      <c r="H153" s="13" t="s">
        <v>42</v>
      </c>
      <c r="I153" s="13" t="s">
        <v>67</v>
      </c>
      <c r="J153" s="13" t="s">
        <v>71</v>
      </c>
      <c r="K153" s="13" t="s">
        <v>45</v>
      </c>
      <c r="L153" s="13" t="s">
        <v>60</v>
      </c>
      <c r="M153" s="13" t="s">
        <v>54</v>
      </c>
      <c r="N153" s="13" t="s">
        <v>55</v>
      </c>
      <c r="O153" s="13" t="s">
        <v>56</v>
      </c>
      <c r="P153" s="16"/>
      <c r="Q153" s="17"/>
      <c r="R153" s="13" t="s">
        <v>50</v>
      </c>
      <c r="S153" s="14" t="n">
        <v>46148.8444444445</v>
      </c>
      <c r="T153" s="13" t="str">
        <f aca="false">TEXT(D153,"mmm yyyy")</f>
        <v>May 2026</v>
      </c>
      <c r="U153" s="13" t="str">
        <f aca="false">TEXT(D153,"ddd")</f>
        <v>Sun</v>
      </c>
      <c r="V153" s="13" t="n">
        <f aca="false">INT(D153)-INT(C153)</f>
        <v>4</v>
      </c>
      <c r="W153" s="13" t="str">
        <f aca="false">IF(M153="","No","Yes")</f>
        <v>Yes</v>
      </c>
      <c r="X153" s="13" t="n">
        <f aca="false">IF(AND(W153="Yes",S153&lt;&gt;""),ROUND((S153-C153)*24,1),"")</f>
        <v>2.6</v>
      </c>
      <c r="Y153" s="13" t="str">
        <f aca="false">IF(X153="","N/A",IF(X153&lt;=12,"Yes","No"))</f>
        <v>Yes</v>
      </c>
      <c r="Z153" s="13" t="str">
        <f aca="true">IF(B153="Pending",TODAY()-INT(C153),"")</f>
        <v/>
      </c>
    </row>
    <row r="154" customFormat="false" ht="15" hidden="false" customHeight="false" outlineLevel="0" collapsed="false">
      <c r="A154" s="13" t="s">
        <v>228</v>
      </c>
      <c r="B154" s="13" t="s">
        <v>65</v>
      </c>
      <c r="C154" s="14" t="n">
        <v>46149.7298611111</v>
      </c>
      <c r="D154" s="14" t="n">
        <v>46153.3958333333</v>
      </c>
      <c r="E154" s="15"/>
      <c r="F154" s="13" t="s">
        <v>96</v>
      </c>
      <c r="G154" s="13" t="s">
        <v>41</v>
      </c>
      <c r="H154" s="13" t="s">
        <v>53</v>
      </c>
      <c r="I154" s="13" t="s">
        <v>42</v>
      </c>
      <c r="J154" s="13" t="s">
        <v>71</v>
      </c>
      <c r="K154" s="13" t="s">
        <v>45</v>
      </c>
      <c r="L154" s="13" t="s">
        <v>60</v>
      </c>
      <c r="M154" s="13"/>
      <c r="N154" s="13"/>
      <c r="O154" s="13"/>
      <c r="P154" s="16"/>
      <c r="Q154" s="17"/>
      <c r="R154" s="13" t="s">
        <v>50</v>
      </c>
      <c r="S154" s="14" t="n">
        <v>46149.7930555556</v>
      </c>
      <c r="T154" s="13" t="str">
        <f aca="false">TEXT(D154,"mmm yyyy")</f>
        <v>May 2026</v>
      </c>
      <c r="U154" s="13" t="str">
        <f aca="false">TEXT(D154,"ddd")</f>
        <v>Mon</v>
      </c>
      <c r="V154" s="13" t="n">
        <f aca="false">INT(D154)-INT(C154)</f>
        <v>4</v>
      </c>
      <c r="W154" s="13" t="str">
        <f aca="false">IF(M154="","No","Yes")</f>
        <v>No</v>
      </c>
      <c r="X154" s="13" t="str">
        <f aca="false">IF(AND(W154="Yes",S154&lt;&gt;""),ROUND((S154-C154)*24,1),"")</f>
        <v/>
      </c>
      <c r="Y154" s="13" t="str">
        <f aca="false">IF(X154="","N/A",IF(X154&lt;=12,"Yes","No"))</f>
        <v>N/A</v>
      </c>
      <c r="Z154" s="13" t="str">
        <f aca="true">IF(B154="Pending",TODAY()-INT(C154),"")</f>
        <v/>
      </c>
    </row>
    <row r="155" customFormat="false" ht="15" hidden="false" customHeight="false" outlineLevel="0" collapsed="false">
      <c r="A155" s="13" t="s">
        <v>229</v>
      </c>
      <c r="B155" s="13" t="s">
        <v>39</v>
      </c>
      <c r="C155" s="14" t="n">
        <v>46149.6881944445</v>
      </c>
      <c r="D155" s="14" t="n">
        <v>46153.7291666667</v>
      </c>
      <c r="E155" s="15" t="n">
        <v>0.0416666666666667</v>
      </c>
      <c r="F155" s="13" t="s">
        <v>52</v>
      </c>
      <c r="G155" s="13" t="s">
        <v>66</v>
      </c>
      <c r="H155" s="13" t="s">
        <v>53</v>
      </c>
      <c r="I155" s="13" t="s">
        <v>43</v>
      </c>
      <c r="J155" s="13" t="s">
        <v>44</v>
      </c>
      <c r="K155" s="13" t="s">
        <v>45</v>
      </c>
      <c r="L155" s="13" t="s">
        <v>46</v>
      </c>
      <c r="M155" s="13" t="s">
        <v>47</v>
      </c>
      <c r="N155" s="13" t="s">
        <v>62</v>
      </c>
      <c r="O155" s="13" t="s">
        <v>63</v>
      </c>
      <c r="P155" s="16"/>
      <c r="Q155" s="17"/>
      <c r="R155" s="13" t="s">
        <v>50</v>
      </c>
      <c r="S155" s="14" t="n">
        <v>46149.9347222222</v>
      </c>
      <c r="T155" s="13" t="str">
        <f aca="false">TEXT(D155,"mmm yyyy")</f>
        <v>May 2026</v>
      </c>
      <c r="U155" s="13" t="str">
        <f aca="false">TEXT(D155,"ddd")</f>
        <v>Mon</v>
      </c>
      <c r="V155" s="13" t="n">
        <f aca="false">INT(D155)-INT(C155)</f>
        <v>4</v>
      </c>
      <c r="W155" s="13" t="str">
        <f aca="false">IF(M155="","No","Yes")</f>
        <v>Yes</v>
      </c>
      <c r="X155" s="13" t="n">
        <f aca="false">IF(AND(W155="Yes",S155&lt;&gt;""),ROUND((S155-C155)*24,1),"")</f>
        <v>5.9</v>
      </c>
      <c r="Y155" s="13" t="str">
        <f aca="false">IF(X155="","N/A",IF(X155&lt;=12,"Yes","No"))</f>
        <v>Yes</v>
      </c>
      <c r="Z155" s="13" t="str">
        <f aca="true">IF(B155="Pending",TODAY()-INT(C155),"")</f>
        <v/>
      </c>
    </row>
    <row r="156" customFormat="false" ht="15" hidden="false" customHeight="false" outlineLevel="0" collapsed="false">
      <c r="A156" s="13" t="s">
        <v>230</v>
      </c>
      <c r="B156" s="13" t="s">
        <v>39</v>
      </c>
      <c r="C156" s="14" t="n">
        <v>46150.6791666667</v>
      </c>
      <c r="D156" s="14" t="n">
        <v>46154.2916666667</v>
      </c>
      <c r="E156" s="15"/>
      <c r="F156" s="13" t="s">
        <v>88</v>
      </c>
      <c r="G156" s="13" t="s">
        <v>41</v>
      </c>
      <c r="H156" s="13" t="s">
        <v>42</v>
      </c>
      <c r="I156" s="13" t="s">
        <v>67</v>
      </c>
      <c r="J156" s="13" t="s">
        <v>44</v>
      </c>
      <c r="K156" s="13" t="s">
        <v>45</v>
      </c>
      <c r="L156" s="13" t="s">
        <v>60</v>
      </c>
      <c r="M156" s="13" t="s">
        <v>90</v>
      </c>
      <c r="N156" s="13" t="s">
        <v>48</v>
      </c>
      <c r="O156" s="13" t="s">
        <v>49</v>
      </c>
      <c r="P156" s="16"/>
      <c r="Q156" s="17"/>
      <c r="R156" s="13" t="s">
        <v>50</v>
      </c>
      <c r="S156" s="14" t="n">
        <v>46150.8909722222</v>
      </c>
      <c r="T156" s="13" t="str">
        <f aca="false">TEXT(D156,"mmm yyyy")</f>
        <v>May 2026</v>
      </c>
      <c r="U156" s="13" t="str">
        <f aca="false">TEXT(D156,"ddd")</f>
        <v>Tue</v>
      </c>
      <c r="V156" s="13" t="n">
        <f aca="false">INT(D156)-INT(C156)</f>
        <v>4</v>
      </c>
      <c r="W156" s="13" t="str">
        <f aca="false">IF(M156="","No","Yes")</f>
        <v>Yes</v>
      </c>
      <c r="X156" s="13" t="n">
        <f aca="false">IF(AND(W156="Yes",S156&lt;&gt;""),ROUND((S156-C156)*24,1),"")</f>
        <v>5.1</v>
      </c>
      <c r="Y156" s="13" t="str">
        <f aca="false">IF(X156="","N/A",IF(X156&lt;=12,"Yes","No"))</f>
        <v>Yes</v>
      </c>
      <c r="Z156" s="13" t="str">
        <f aca="true">IF(B156="Pending",TODAY()-INT(C156),"")</f>
        <v/>
      </c>
    </row>
    <row r="157" customFormat="false" ht="15" hidden="false" customHeight="false" outlineLevel="0" collapsed="false">
      <c r="A157" s="13" t="s">
        <v>231</v>
      </c>
      <c r="B157" s="13" t="s">
        <v>65</v>
      </c>
      <c r="C157" s="14" t="n">
        <v>46151.4097222222</v>
      </c>
      <c r="D157" s="14" t="n">
        <v>46155.3333333333</v>
      </c>
      <c r="E157" s="15"/>
      <c r="F157" s="13" t="s">
        <v>58</v>
      </c>
      <c r="G157" s="13" t="s">
        <v>41</v>
      </c>
      <c r="H157" s="13" t="s">
        <v>53</v>
      </c>
      <c r="I157" s="13" t="s">
        <v>42</v>
      </c>
      <c r="J157" s="13" t="s">
        <v>131</v>
      </c>
      <c r="K157" s="13" t="s">
        <v>45</v>
      </c>
      <c r="L157" s="13" t="s">
        <v>60</v>
      </c>
      <c r="M157" s="13"/>
      <c r="N157" s="13"/>
      <c r="O157" s="13"/>
      <c r="P157" s="16"/>
      <c r="Q157" s="17"/>
      <c r="R157" s="13" t="s">
        <v>50</v>
      </c>
      <c r="S157" s="14" t="n">
        <v>46152.5069444445</v>
      </c>
      <c r="T157" s="13" t="str">
        <f aca="false">TEXT(D157,"mmm yyyy")</f>
        <v>May 2026</v>
      </c>
      <c r="U157" s="13" t="str">
        <f aca="false">TEXT(D157,"ddd")</f>
        <v>Wed</v>
      </c>
      <c r="V157" s="13" t="n">
        <f aca="false">INT(D157)-INT(C157)</f>
        <v>4</v>
      </c>
      <c r="W157" s="13" t="str">
        <f aca="false">IF(M157="","No","Yes")</f>
        <v>No</v>
      </c>
      <c r="X157" s="13" t="str">
        <f aca="false">IF(AND(W157="Yes",S157&lt;&gt;""),ROUND((S157-C157)*24,1),"")</f>
        <v/>
      </c>
      <c r="Y157" s="13" t="str">
        <f aca="false">IF(X157="","N/A",IF(X157&lt;=12,"Yes","No"))</f>
        <v>N/A</v>
      </c>
      <c r="Z157" s="13" t="str">
        <f aca="true">IF(B157="Pending",TODAY()-INT(C157),"")</f>
        <v/>
      </c>
    </row>
    <row r="158" customFormat="false" ht="15" hidden="false" customHeight="false" outlineLevel="0" collapsed="false">
      <c r="A158" s="13" t="s">
        <v>232</v>
      </c>
      <c r="B158" s="13" t="s">
        <v>69</v>
      </c>
      <c r="C158" s="14" t="n">
        <v>46157.3986111111</v>
      </c>
      <c r="D158" s="14" t="n">
        <v>46161.2708333333</v>
      </c>
      <c r="E158" s="15"/>
      <c r="F158" s="13" t="s">
        <v>88</v>
      </c>
      <c r="G158" s="13" t="s">
        <v>41</v>
      </c>
      <c r="H158" s="13" t="s">
        <v>53</v>
      </c>
      <c r="I158" s="13" t="s">
        <v>42</v>
      </c>
      <c r="J158" s="13" t="s">
        <v>131</v>
      </c>
      <c r="K158" s="13" t="s">
        <v>45</v>
      </c>
      <c r="L158" s="13" t="s">
        <v>60</v>
      </c>
      <c r="M158" s="13"/>
      <c r="N158" s="13"/>
      <c r="O158" s="13"/>
      <c r="P158" s="16"/>
      <c r="Q158" s="17"/>
      <c r="R158" s="13" t="s">
        <v>50</v>
      </c>
      <c r="S158" s="14" t="n">
        <v>46157.7680555556</v>
      </c>
      <c r="T158" s="13" t="str">
        <f aca="false">TEXT(D158,"mmm yyyy")</f>
        <v>May 2026</v>
      </c>
      <c r="U158" s="13" t="str">
        <f aca="false">TEXT(D158,"ddd")</f>
        <v>Tue</v>
      </c>
      <c r="V158" s="13" t="n">
        <f aca="false">INT(D158)-INT(C158)</f>
        <v>4</v>
      </c>
      <c r="W158" s="13" t="str">
        <f aca="false">IF(M158="","No","Yes")</f>
        <v>No</v>
      </c>
      <c r="X158" s="13" t="str">
        <f aca="false">IF(AND(W158="Yes",S158&lt;&gt;""),ROUND((S158-C158)*24,1),"")</f>
        <v/>
      </c>
      <c r="Y158" s="13" t="str">
        <f aca="false">IF(X158="","N/A",IF(X158&lt;=12,"Yes","No"))</f>
        <v>N/A</v>
      </c>
      <c r="Z158" s="13" t="str">
        <f aca="true">IF(B158="Pending",TODAY()-INT(C158),"")</f>
        <v/>
      </c>
    </row>
    <row r="159" customFormat="false" ht="15" hidden="false" customHeight="false" outlineLevel="0" collapsed="false">
      <c r="A159" s="13" t="s">
        <v>233</v>
      </c>
      <c r="B159" s="13" t="s">
        <v>39</v>
      </c>
      <c r="C159" s="14" t="n">
        <v>46157.4881944444</v>
      </c>
      <c r="D159" s="14" t="n">
        <v>46161.2916666667</v>
      </c>
      <c r="E159" s="15" t="n">
        <v>0.708333333333333</v>
      </c>
      <c r="F159" s="13" t="s">
        <v>88</v>
      </c>
      <c r="G159" s="13" t="s">
        <v>41</v>
      </c>
      <c r="H159" s="13" t="s">
        <v>42</v>
      </c>
      <c r="I159" s="13" t="s">
        <v>43</v>
      </c>
      <c r="J159" s="13" t="s">
        <v>44</v>
      </c>
      <c r="K159" s="13" t="s">
        <v>45</v>
      </c>
      <c r="L159" s="13" t="s">
        <v>46</v>
      </c>
      <c r="M159" s="13" t="s">
        <v>90</v>
      </c>
      <c r="N159" s="13" t="s">
        <v>55</v>
      </c>
      <c r="O159" s="13" t="s">
        <v>56</v>
      </c>
      <c r="P159" s="16"/>
      <c r="Q159" s="17"/>
      <c r="R159" s="13" t="s">
        <v>50</v>
      </c>
      <c r="S159" s="14" t="n">
        <v>46158.45625</v>
      </c>
      <c r="T159" s="13" t="str">
        <f aca="false">TEXT(D159,"mmm yyyy")</f>
        <v>May 2026</v>
      </c>
      <c r="U159" s="13" t="str">
        <f aca="false">TEXT(D159,"ddd")</f>
        <v>Tue</v>
      </c>
      <c r="V159" s="13" t="n">
        <f aca="false">INT(D159)-INT(C159)</f>
        <v>4</v>
      </c>
      <c r="W159" s="13" t="str">
        <f aca="false">IF(M159="","No","Yes")</f>
        <v>Yes</v>
      </c>
      <c r="X159" s="13" t="n">
        <f aca="false">IF(AND(W159="Yes",S159&lt;&gt;""),ROUND((S159-C159)*24,1),"")</f>
        <v>23.2</v>
      </c>
      <c r="Y159" s="13" t="str">
        <f aca="false">IF(X159="","N/A",IF(X159&lt;=12,"Yes","No"))</f>
        <v>No</v>
      </c>
      <c r="Z159" s="13" t="str">
        <f aca="true">IF(B159="Pending",TODAY()-INT(C159),"")</f>
        <v/>
      </c>
    </row>
    <row r="160" customFormat="false" ht="15" hidden="false" customHeight="false" outlineLevel="0" collapsed="false">
      <c r="A160" s="13" t="s">
        <v>234</v>
      </c>
      <c r="B160" s="13" t="s">
        <v>39</v>
      </c>
      <c r="C160" s="14" t="n">
        <v>46157.4597222222</v>
      </c>
      <c r="D160" s="14" t="n">
        <v>46161.3333333333</v>
      </c>
      <c r="E160" s="15"/>
      <c r="F160" s="13" t="s">
        <v>88</v>
      </c>
      <c r="G160" s="13" t="s">
        <v>41</v>
      </c>
      <c r="H160" s="13" t="s">
        <v>42</v>
      </c>
      <c r="I160" s="13" t="s">
        <v>53</v>
      </c>
      <c r="J160" s="13" t="s">
        <v>71</v>
      </c>
      <c r="K160" s="13" t="s">
        <v>45</v>
      </c>
      <c r="L160" s="13" t="s">
        <v>60</v>
      </c>
      <c r="M160" s="13" t="s">
        <v>47</v>
      </c>
      <c r="N160" s="13" t="s">
        <v>55</v>
      </c>
      <c r="O160" s="13" t="s">
        <v>56</v>
      </c>
      <c r="P160" s="16"/>
      <c r="Q160" s="17"/>
      <c r="R160" s="13" t="s">
        <v>50</v>
      </c>
      <c r="S160" s="14" t="n">
        <v>46157.6895833333</v>
      </c>
      <c r="T160" s="13" t="str">
        <f aca="false">TEXT(D160,"mmm yyyy")</f>
        <v>May 2026</v>
      </c>
      <c r="U160" s="13" t="str">
        <f aca="false">TEXT(D160,"ddd")</f>
        <v>Tue</v>
      </c>
      <c r="V160" s="13" t="n">
        <f aca="false">INT(D160)-INT(C160)</f>
        <v>4</v>
      </c>
      <c r="W160" s="13" t="str">
        <f aca="false">IF(M160="","No","Yes")</f>
        <v>Yes</v>
      </c>
      <c r="X160" s="13" t="n">
        <f aca="false">IF(AND(W160="Yes",S160&lt;&gt;""),ROUND((S160-C160)*24,1),"")</f>
        <v>5.5</v>
      </c>
      <c r="Y160" s="13" t="str">
        <f aca="false">IF(X160="","N/A",IF(X160&lt;=12,"Yes","No"))</f>
        <v>Yes</v>
      </c>
      <c r="Z160" s="13" t="str">
        <f aca="true">IF(B160="Pending",TODAY()-INT(C160),"")</f>
        <v/>
      </c>
    </row>
    <row r="161" customFormat="false" ht="15" hidden="false" customHeight="false" outlineLevel="0" collapsed="false">
      <c r="A161" s="13" t="s">
        <v>235</v>
      </c>
      <c r="B161" s="13" t="s">
        <v>39</v>
      </c>
      <c r="C161" s="14" t="n">
        <v>46160.4520833333</v>
      </c>
      <c r="D161" s="14" t="n">
        <v>46164.5416666667</v>
      </c>
      <c r="E161" s="15" t="n">
        <v>0.708333333333333</v>
      </c>
      <c r="F161" s="13" t="s">
        <v>96</v>
      </c>
      <c r="G161" s="13" t="s">
        <v>66</v>
      </c>
      <c r="H161" s="13" t="s">
        <v>53</v>
      </c>
      <c r="I161" s="13" t="s">
        <v>43</v>
      </c>
      <c r="J161" s="13" t="s">
        <v>44</v>
      </c>
      <c r="K161" s="13" t="s">
        <v>45</v>
      </c>
      <c r="L161" s="13" t="s">
        <v>46</v>
      </c>
      <c r="M161" s="13" t="s">
        <v>61</v>
      </c>
      <c r="N161" s="13" t="s">
        <v>55</v>
      </c>
      <c r="O161" s="13" t="s">
        <v>56</v>
      </c>
      <c r="P161" s="16"/>
      <c r="Q161" s="17"/>
      <c r="R161" s="13" t="s">
        <v>50</v>
      </c>
      <c r="S161" s="14" t="n">
        <v>46161.3548611111</v>
      </c>
      <c r="T161" s="13" t="str">
        <f aca="false">TEXT(D161,"mmm yyyy")</f>
        <v>May 2026</v>
      </c>
      <c r="U161" s="13" t="str">
        <f aca="false">TEXT(D161,"ddd")</f>
        <v>Fri</v>
      </c>
      <c r="V161" s="13" t="n">
        <f aca="false">INT(D161)-INT(C161)</f>
        <v>4</v>
      </c>
      <c r="W161" s="13" t="str">
        <f aca="false">IF(M161="","No","Yes")</f>
        <v>Yes</v>
      </c>
      <c r="X161" s="13" t="n">
        <f aca="false">IF(AND(W161="Yes",S161&lt;&gt;""),ROUND((S161-C161)*24,1),"")</f>
        <v>21.7</v>
      </c>
      <c r="Y161" s="13" t="str">
        <f aca="false">IF(X161="","N/A",IF(X161&lt;=12,"Yes","No"))</f>
        <v>No</v>
      </c>
      <c r="Z161" s="13" t="str">
        <f aca="true">IF(B161="Pending",TODAY()-INT(C161),"")</f>
        <v/>
      </c>
    </row>
    <row r="162" customFormat="false" ht="15" hidden="false" customHeight="false" outlineLevel="0" collapsed="false">
      <c r="A162" s="13" t="s">
        <v>236</v>
      </c>
      <c r="B162" s="13" t="s">
        <v>39</v>
      </c>
      <c r="C162" s="14" t="n">
        <v>46163.49375</v>
      </c>
      <c r="D162" s="14" t="n">
        <v>46167.5416666667</v>
      </c>
      <c r="E162" s="15" t="n">
        <v>0.708333333333333</v>
      </c>
      <c r="F162" s="13" t="s">
        <v>40</v>
      </c>
      <c r="G162" s="13" t="s">
        <v>66</v>
      </c>
      <c r="H162" s="13" t="s">
        <v>53</v>
      </c>
      <c r="I162" s="13" t="s">
        <v>43</v>
      </c>
      <c r="J162" s="13" t="s">
        <v>44</v>
      </c>
      <c r="K162" s="13" t="s">
        <v>45</v>
      </c>
      <c r="L162" s="13" t="s">
        <v>46</v>
      </c>
      <c r="M162" s="13" t="s">
        <v>54</v>
      </c>
      <c r="N162" s="13" t="s">
        <v>62</v>
      </c>
      <c r="O162" s="13" t="s">
        <v>63</v>
      </c>
      <c r="P162" s="16"/>
      <c r="Q162" s="17"/>
      <c r="R162" s="13" t="s">
        <v>50</v>
      </c>
      <c r="S162" s="14" t="n">
        <v>46163.7888888889</v>
      </c>
      <c r="T162" s="13" t="str">
        <f aca="false">TEXT(D162,"mmm yyyy")</f>
        <v>May 2026</v>
      </c>
      <c r="U162" s="13" t="str">
        <f aca="false">TEXT(D162,"ddd")</f>
        <v>Mon</v>
      </c>
      <c r="V162" s="13" t="n">
        <f aca="false">INT(D162)-INT(C162)</f>
        <v>4</v>
      </c>
      <c r="W162" s="13" t="str">
        <f aca="false">IF(M162="","No","Yes")</f>
        <v>Yes</v>
      </c>
      <c r="X162" s="13" t="n">
        <f aca="false">IF(AND(W162="Yes",S162&lt;&gt;""),ROUND((S162-C162)*24,1),"")</f>
        <v>7.1</v>
      </c>
      <c r="Y162" s="13" t="str">
        <f aca="false">IF(X162="","N/A",IF(X162&lt;=12,"Yes","No"))</f>
        <v>Yes</v>
      </c>
      <c r="Z162" s="13" t="str">
        <f aca="true">IF(B162="Pending",TODAY()-INT(C162),"")</f>
        <v/>
      </c>
    </row>
    <row r="163" customFormat="false" ht="15" hidden="false" customHeight="false" outlineLevel="0" collapsed="false">
      <c r="A163" s="13" t="s">
        <v>237</v>
      </c>
      <c r="B163" s="13" t="s">
        <v>83</v>
      </c>
      <c r="C163" s="14" t="n">
        <v>46167.5222222222</v>
      </c>
      <c r="D163" s="14" t="n">
        <v>46170.2708333333</v>
      </c>
      <c r="E163" s="15"/>
      <c r="F163" s="13" t="s">
        <v>88</v>
      </c>
      <c r="G163" s="13" t="s">
        <v>41</v>
      </c>
      <c r="H163" s="13" t="s">
        <v>42</v>
      </c>
      <c r="I163" s="13" t="s">
        <v>53</v>
      </c>
      <c r="J163" s="13" t="s">
        <v>59</v>
      </c>
      <c r="K163" s="13" t="s">
        <v>45</v>
      </c>
      <c r="L163" s="13" t="s">
        <v>60</v>
      </c>
      <c r="M163" s="13"/>
      <c r="N163" s="13"/>
      <c r="O163" s="13"/>
      <c r="P163" s="16"/>
      <c r="Q163" s="17"/>
      <c r="R163" s="13"/>
      <c r="S163" s="14"/>
      <c r="T163" s="13" t="str">
        <f aca="false">TEXT(D163,"mmm yyyy")</f>
        <v>May 2026</v>
      </c>
      <c r="U163" s="13" t="str">
        <f aca="false">TEXT(D163,"ddd")</f>
        <v>Thu</v>
      </c>
      <c r="V163" s="13" t="n">
        <f aca="false">INT(D163)-INT(C163)</f>
        <v>3</v>
      </c>
      <c r="W163" s="13" t="str">
        <f aca="false">IF(M163="","No","Yes")</f>
        <v>No</v>
      </c>
      <c r="X163" s="13" t="str">
        <f aca="false">IF(AND(W163="Yes",S163&lt;&gt;""),ROUND((S163-C163)*24,1),"")</f>
        <v/>
      </c>
      <c r="Y163" s="13" t="str">
        <f aca="false">IF(X163="","N/A",IF(X163&lt;=12,"Yes","No"))</f>
        <v>N/A</v>
      </c>
      <c r="Z163" s="18" t="n">
        <f aca="true">IF(B163="Pending",TODAY()-INT(C163),"")</f>
        <v>107</v>
      </c>
    </row>
    <row r="164" customFormat="false" ht="15" hidden="false" customHeight="false" outlineLevel="0" collapsed="false">
      <c r="A164" s="13" t="s">
        <v>238</v>
      </c>
      <c r="B164" s="13" t="s">
        <v>39</v>
      </c>
      <c r="C164" s="14" t="n">
        <v>46168.5104166667</v>
      </c>
      <c r="D164" s="14" t="n">
        <v>46170.2708333333</v>
      </c>
      <c r="E164" s="15" t="n">
        <v>0.708333333333333</v>
      </c>
      <c r="F164" s="13" t="s">
        <v>58</v>
      </c>
      <c r="G164" s="13" t="s">
        <v>66</v>
      </c>
      <c r="H164" s="13" t="s">
        <v>42</v>
      </c>
      <c r="I164" s="13" t="s">
        <v>43</v>
      </c>
      <c r="J164" s="13" t="s">
        <v>44</v>
      </c>
      <c r="K164" s="13" t="s">
        <v>45</v>
      </c>
      <c r="L164" s="13" t="s">
        <v>46</v>
      </c>
      <c r="M164" s="13" t="s">
        <v>90</v>
      </c>
      <c r="N164" s="13" t="s">
        <v>55</v>
      </c>
      <c r="O164" s="13" t="s">
        <v>56</v>
      </c>
      <c r="P164" s="16"/>
      <c r="Q164" s="17"/>
      <c r="R164" s="13" t="s">
        <v>50</v>
      </c>
      <c r="S164" s="14" t="n">
        <v>46168.9083333333</v>
      </c>
      <c r="T164" s="13" t="str">
        <f aca="false">TEXT(D164,"mmm yyyy")</f>
        <v>May 2026</v>
      </c>
      <c r="U164" s="13" t="str">
        <f aca="false">TEXT(D164,"ddd")</f>
        <v>Thu</v>
      </c>
      <c r="V164" s="13" t="n">
        <f aca="false">INT(D164)-INT(C164)</f>
        <v>2</v>
      </c>
      <c r="W164" s="13" t="str">
        <f aca="false">IF(M164="","No","Yes")</f>
        <v>Yes</v>
      </c>
      <c r="X164" s="13" t="n">
        <f aca="false">IF(AND(W164="Yes",S164&lt;&gt;""),ROUND((S164-C164)*24,1),"")</f>
        <v>9.6</v>
      </c>
      <c r="Y164" s="13" t="str">
        <f aca="false">IF(X164="","N/A",IF(X164&lt;=12,"Yes","No"))</f>
        <v>Yes</v>
      </c>
      <c r="Z164" s="13" t="str">
        <f aca="true">IF(B164="Pending",TODAY()-INT(C164),"")</f>
        <v/>
      </c>
    </row>
    <row r="165" customFormat="false" ht="15" hidden="false" customHeight="false" outlineLevel="0" collapsed="false">
      <c r="A165" s="13" t="s">
        <v>239</v>
      </c>
      <c r="B165" s="13" t="s">
        <v>39</v>
      </c>
      <c r="C165" s="14" t="n">
        <v>46166.5541666667</v>
      </c>
      <c r="D165" s="14" t="n">
        <v>46170.2916666667</v>
      </c>
      <c r="E165" s="15"/>
      <c r="F165" s="13" t="s">
        <v>58</v>
      </c>
      <c r="G165" s="13" t="s">
        <v>41</v>
      </c>
      <c r="H165" s="13" t="s">
        <v>53</v>
      </c>
      <c r="I165" s="13" t="s">
        <v>78</v>
      </c>
      <c r="J165" s="13" t="s">
        <v>131</v>
      </c>
      <c r="K165" s="13" t="s">
        <v>45</v>
      </c>
      <c r="L165" s="13" t="s">
        <v>60</v>
      </c>
      <c r="M165" s="13" t="s">
        <v>61</v>
      </c>
      <c r="N165" s="13" t="s">
        <v>79</v>
      </c>
      <c r="O165" s="13" t="s">
        <v>80</v>
      </c>
      <c r="P165" s="16"/>
      <c r="Q165" s="17"/>
      <c r="R165" s="13" t="s">
        <v>50</v>
      </c>
      <c r="S165" s="14" t="n">
        <v>46166.8875</v>
      </c>
      <c r="T165" s="13" t="str">
        <f aca="false">TEXT(D165,"mmm yyyy")</f>
        <v>May 2026</v>
      </c>
      <c r="U165" s="13" t="str">
        <f aca="false">TEXT(D165,"ddd")</f>
        <v>Thu</v>
      </c>
      <c r="V165" s="13" t="n">
        <f aca="false">INT(D165)-INT(C165)</f>
        <v>4</v>
      </c>
      <c r="W165" s="13" t="str">
        <f aca="false">IF(M165="","No","Yes")</f>
        <v>Yes</v>
      </c>
      <c r="X165" s="13" t="n">
        <f aca="false">IF(AND(W165="Yes",S165&lt;&gt;""),ROUND((S165-C165)*24,1),"")</f>
        <v>8</v>
      </c>
      <c r="Y165" s="13" t="str">
        <f aca="false">IF(X165="","N/A",IF(X165&lt;=12,"Yes","No"))</f>
        <v>Yes</v>
      </c>
      <c r="Z165" s="13" t="str">
        <f aca="true">IF(B165="Pending",TODAY()-INT(C165),"")</f>
        <v/>
      </c>
    </row>
    <row r="166" customFormat="false" ht="15" hidden="false" customHeight="false" outlineLevel="0" collapsed="false">
      <c r="A166" s="13" t="s">
        <v>240</v>
      </c>
      <c r="B166" s="13" t="s">
        <v>39</v>
      </c>
      <c r="C166" s="14" t="n">
        <v>46168.4861111111</v>
      </c>
      <c r="D166" s="14" t="n">
        <v>46170.5416666667</v>
      </c>
      <c r="E166" s="15" t="n">
        <v>0.708333333333333</v>
      </c>
      <c r="F166" s="13" t="s">
        <v>58</v>
      </c>
      <c r="G166" s="13" t="s">
        <v>41</v>
      </c>
      <c r="H166" s="13" t="s">
        <v>53</v>
      </c>
      <c r="I166" s="13" t="s">
        <v>43</v>
      </c>
      <c r="J166" s="13" t="s">
        <v>44</v>
      </c>
      <c r="K166" s="13" t="s">
        <v>45</v>
      </c>
      <c r="L166" s="13" t="s">
        <v>46</v>
      </c>
      <c r="M166" s="13" t="s">
        <v>90</v>
      </c>
      <c r="N166" s="13" t="s">
        <v>55</v>
      </c>
      <c r="O166" s="13" t="s">
        <v>56</v>
      </c>
      <c r="P166" s="16"/>
      <c r="Q166" s="17"/>
      <c r="R166" s="13" t="s">
        <v>50</v>
      </c>
      <c r="S166" s="14" t="n">
        <v>46168.8979166667</v>
      </c>
      <c r="T166" s="13" t="str">
        <f aca="false">TEXT(D166,"mmm yyyy")</f>
        <v>May 2026</v>
      </c>
      <c r="U166" s="13" t="str">
        <f aca="false">TEXT(D166,"ddd")</f>
        <v>Thu</v>
      </c>
      <c r="V166" s="13" t="n">
        <f aca="false">INT(D166)-INT(C166)</f>
        <v>2</v>
      </c>
      <c r="W166" s="13" t="str">
        <f aca="false">IF(M166="","No","Yes")</f>
        <v>Yes</v>
      </c>
      <c r="X166" s="13" t="n">
        <f aca="false">IF(AND(W166="Yes",S166&lt;&gt;""),ROUND((S166-C166)*24,1),"")</f>
        <v>9.9</v>
      </c>
      <c r="Y166" s="13" t="str">
        <f aca="false">IF(X166="","N/A",IF(X166&lt;=12,"Yes","No"))</f>
        <v>Yes</v>
      </c>
      <c r="Z166" s="13" t="str">
        <f aca="true">IF(B166="Pending",TODAY()-INT(C166),"")</f>
        <v/>
      </c>
    </row>
    <row r="167" customFormat="false" ht="15" hidden="false" customHeight="false" outlineLevel="0" collapsed="false">
      <c r="A167" s="13" t="s">
        <v>241</v>
      </c>
      <c r="B167" s="13" t="s">
        <v>39</v>
      </c>
      <c r="C167" s="14" t="n">
        <v>46168.7291666667</v>
      </c>
      <c r="D167" s="14" t="n">
        <v>46170.7291666667</v>
      </c>
      <c r="E167" s="15"/>
      <c r="F167" s="13" t="s">
        <v>96</v>
      </c>
      <c r="G167" s="13" t="s">
        <v>41</v>
      </c>
      <c r="H167" s="13" t="s">
        <v>53</v>
      </c>
      <c r="I167" s="13" t="s">
        <v>42</v>
      </c>
      <c r="J167" s="13" t="s">
        <v>44</v>
      </c>
      <c r="K167" s="13" t="s">
        <v>45</v>
      </c>
      <c r="L167" s="13" t="s">
        <v>60</v>
      </c>
      <c r="M167" s="13" t="s">
        <v>54</v>
      </c>
      <c r="N167" s="13" t="s">
        <v>62</v>
      </c>
      <c r="O167" s="13" t="s">
        <v>63</v>
      </c>
      <c r="P167" s="16"/>
      <c r="Q167" s="17"/>
      <c r="R167" s="13" t="s">
        <v>50</v>
      </c>
      <c r="S167" s="14" t="n">
        <v>46168.8895833333</v>
      </c>
      <c r="T167" s="13" t="str">
        <f aca="false">TEXT(D167,"mmm yyyy")</f>
        <v>May 2026</v>
      </c>
      <c r="U167" s="13" t="str">
        <f aca="false">TEXT(D167,"ddd")</f>
        <v>Thu</v>
      </c>
      <c r="V167" s="13" t="n">
        <f aca="false">INT(D167)-INT(C167)</f>
        <v>2</v>
      </c>
      <c r="W167" s="13" t="str">
        <f aca="false">IF(M167="","No","Yes")</f>
        <v>Yes</v>
      </c>
      <c r="X167" s="13" t="n">
        <f aca="false">IF(AND(W167="Yes",S167&lt;&gt;""),ROUND((S167-C167)*24,1),"")</f>
        <v>3.9</v>
      </c>
      <c r="Y167" s="13" t="str">
        <f aca="false">IF(X167="","N/A",IF(X167&lt;=12,"Yes","No"))</f>
        <v>Yes</v>
      </c>
      <c r="Z167" s="13" t="str">
        <f aca="true">IF(B167="Pending",TODAY()-INT(C167),"")</f>
        <v/>
      </c>
    </row>
    <row r="168" customFormat="false" ht="15" hidden="false" customHeight="false" outlineLevel="0" collapsed="false">
      <c r="A168" s="13" t="s">
        <v>242</v>
      </c>
      <c r="B168" s="13" t="s">
        <v>65</v>
      </c>
      <c r="C168" s="14" t="n">
        <v>46177.6076388889</v>
      </c>
      <c r="D168" s="14" t="n">
        <v>46181.2708333333</v>
      </c>
      <c r="E168" s="15"/>
      <c r="F168" s="13" t="s">
        <v>58</v>
      </c>
      <c r="G168" s="13" t="s">
        <v>66</v>
      </c>
      <c r="H168" s="13" t="s">
        <v>42</v>
      </c>
      <c r="I168" s="13" t="s">
        <v>53</v>
      </c>
      <c r="J168" s="13" t="s">
        <v>131</v>
      </c>
      <c r="K168" s="13" t="s">
        <v>45</v>
      </c>
      <c r="L168" s="13" t="s">
        <v>60</v>
      </c>
      <c r="M168" s="13"/>
      <c r="N168" s="13"/>
      <c r="O168" s="13"/>
      <c r="P168" s="16"/>
      <c r="Q168" s="17"/>
      <c r="R168" s="13" t="s">
        <v>50</v>
      </c>
      <c r="S168" s="14" t="n">
        <v>46177.8277777778</v>
      </c>
      <c r="T168" s="13" t="str">
        <f aca="false">TEXT(D168,"mmm yyyy")</f>
        <v>Jun 2026</v>
      </c>
      <c r="U168" s="13" t="str">
        <f aca="false">TEXT(D168,"ddd")</f>
        <v>Mon</v>
      </c>
      <c r="V168" s="13" t="n">
        <f aca="false">INT(D168)-INT(C168)</f>
        <v>4</v>
      </c>
      <c r="W168" s="13" t="str">
        <f aca="false">IF(M168="","No","Yes")</f>
        <v>No</v>
      </c>
      <c r="X168" s="13" t="str">
        <f aca="false">IF(AND(W168="Yes",S168&lt;&gt;""),ROUND((S168-C168)*24,1),"")</f>
        <v/>
      </c>
      <c r="Y168" s="13" t="str">
        <f aca="false">IF(X168="","N/A",IF(X168&lt;=12,"Yes","No"))</f>
        <v>N/A</v>
      </c>
      <c r="Z168" s="13" t="str">
        <f aca="true">IF(B168="Pending",TODAY()-INT(C168),"")</f>
        <v/>
      </c>
    </row>
    <row r="169" customFormat="false" ht="15" hidden="false" customHeight="false" outlineLevel="0" collapsed="false">
      <c r="A169" s="13" t="s">
        <v>243</v>
      </c>
      <c r="B169" s="13" t="s">
        <v>39</v>
      </c>
      <c r="C169" s="14" t="n">
        <v>46186.5972222222</v>
      </c>
      <c r="D169" s="14" t="n">
        <v>46190.7291666667</v>
      </c>
      <c r="E169" s="15"/>
      <c r="F169" s="13" t="s">
        <v>88</v>
      </c>
      <c r="G169" s="13" t="s">
        <v>41</v>
      </c>
      <c r="H169" s="13" t="s">
        <v>42</v>
      </c>
      <c r="I169" s="13" t="s">
        <v>67</v>
      </c>
      <c r="J169" s="13" t="s">
        <v>71</v>
      </c>
      <c r="K169" s="13" t="s">
        <v>45</v>
      </c>
      <c r="L169" s="13" t="s">
        <v>60</v>
      </c>
      <c r="M169" s="13" t="s">
        <v>47</v>
      </c>
      <c r="N169" s="13" t="s">
        <v>55</v>
      </c>
      <c r="O169" s="13" t="s">
        <v>56</v>
      </c>
      <c r="P169" s="16"/>
      <c r="Q169" s="17"/>
      <c r="R169" s="13" t="s">
        <v>50</v>
      </c>
      <c r="S169" s="14" t="n">
        <v>46186.7527777778</v>
      </c>
      <c r="T169" s="13" t="str">
        <f aca="false">TEXT(D169,"mmm yyyy")</f>
        <v>Jun 2026</v>
      </c>
      <c r="U169" s="13" t="str">
        <f aca="false">TEXT(D169,"ddd")</f>
        <v>Wed</v>
      </c>
      <c r="V169" s="13" t="n">
        <f aca="false">INT(D169)-INT(C169)</f>
        <v>4</v>
      </c>
      <c r="W169" s="13" t="str">
        <f aca="false">IF(M169="","No","Yes")</f>
        <v>Yes</v>
      </c>
      <c r="X169" s="13" t="n">
        <f aca="false">IF(AND(W169="Yes",S169&lt;&gt;""),ROUND((S169-C169)*24,1),"")</f>
        <v>3.7</v>
      </c>
      <c r="Y169" s="13" t="str">
        <f aca="false">IF(X169="","N/A",IF(X169&lt;=12,"Yes","No"))</f>
        <v>Yes</v>
      </c>
      <c r="Z169" s="13" t="str">
        <f aca="true">IF(B169="Pending",TODAY()-INT(C169),"")</f>
        <v/>
      </c>
    </row>
    <row r="170" customFormat="false" ht="15" hidden="false" customHeight="false" outlineLevel="0" collapsed="false">
      <c r="A170" s="13" t="s">
        <v>244</v>
      </c>
      <c r="B170" s="13" t="s">
        <v>39</v>
      </c>
      <c r="C170" s="14" t="n">
        <v>46187.5701388889</v>
      </c>
      <c r="D170" s="14" t="n">
        <v>46191.2916666667</v>
      </c>
      <c r="E170" s="15"/>
      <c r="F170" s="13" t="s">
        <v>73</v>
      </c>
      <c r="G170" s="13" t="s">
        <v>66</v>
      </c>
      <c r="H170" s="13" t="s">
        <v>53</v>
      </c>
      <c r="I170" s="13" t="s">
        <v>42</v>
      </c>
      <c r="J170" s="13" t="s">
        <v>71</v>
      </c>
      <c r="K170" s="13" t="s">
        <v>45</v>
      </c>
      <c r="L170" s="13" t="s">
        <v>60</v>
      </c>
      <c r="M170" s="13" t="s">
        <v>90</v>
      </c>
      <c r="N170" s="13" t="s">
        <v>55</v>
      </c>
      <c r="O170" s="13" t="s">
        <v>56</v>
      </c>
      <c r="P170" s="16"/>
      <c r="Q170" s="17"/>
      <c r="R170" s="13" t="s">
        <v>50</v>
      </c>
      <c r="S170" s="14" t="n">
        <v>46187.7125</v>
      </c>
      <c r="T170" s="13" t="str">
        <f aca="false">TEXT(D170,"mmm yyyy")</f>
        <v>Jun 2026</v>
      </c>
      <c r="U170" s="13" t="str">
        <f aca="false">TEXT(D170,"ddd")</f>
        <v>Thu</v>
      </c>
      <c r="V170" s="13" t="n">
        <f aca="false">INT(D170)-INT(C170)</f>
        <v>4</v>
      </c>
      <c r="W170" s="13" t="str">
        <f aca="false">IF(M170="","No","Yes")</f>
        <v>Yes</v>
      </c>
      <c r="X170" s="13" t="n">
        <f aca="false">IF(AND(W170="Yes",S170&lt;&gt;""),ROUND((S170-C170)*24,1),"")</f>
        <v>3.4</v>
      </c>
      <c r="Y170" s="13" t="str">
        <f aca="false">IF(X170="","N/A",IF(X170&lt;=12,"Yes","No"))</f>
        <v>Yes</v>
      </c>
      <c r="Z170" s="13" t="str">
        <f aca="true">IF(B170="Pending",TODAY()-INT(C170),"")</f>
        <v/>
      </c>
    </row>
    <row r="171" customFormat="false" ht="15" hidden="false" customHeight="false" outlineLevel="0" collapsed="false">
      <c r="A171" s="13" t="s">
        <v>245</v>
      </c>
      <c r="B171" s="13" t="s">
        <v>39</v>
      </c>
      <c r="C171" s="14" t="n">
        <v>46187.7277777778</v>
      </c>
      <c r="D171" s="14" t="n">
        <v>46191.3958333333</v>
      </c>
      <c r="E171" s="15" t="n">
        <v>0.708333333333333</v>
      </c>
      <c r="F171" s="13" t="s">
        <v>96</v>
      </c>
      <c r="G171" s="13" t="s">
        <v>41</v>
      </c>
      <c r="H171" s="13" t="s">
        <v>53</v>
      </c>
      <c r="I171" s="13" t="s">
        <v>43</v>
      </c>
      <c r="J171" s="13" t="s">
        <v>44</v>
      </c>
      <c r="K171" s="13" t="s">
        <v>45</v>
      </c>
      <c r="L171" s="13" t="s">
        <v>46</v>
      </c>
      <c r="M171" s="13" t="s">
        <v>47</v>
      </c>
      <c r="N171" s="13" t="s">
        <v>79</v>
      </c>
      <c r="O171" s="13" t="s">
        <v>80</v>
      </c>
      <c r="P171" s="16"/>
      <c r="Q171" s="17"/>
      <c r="R171" s="13" t="s">
        <v>50</v>
      </c>
      <c r="S171" s="14" t="n">
        <v>46188.6111111111</v>
      </c>
      <c r="T171" s="13" t="str">
        <f aca="false">TEXT(D171,"mmm yyyy")</f>
        <v>Jun 2026</v>
      </c>
      <c r="U171" s="13" t="str">
        <f aca="false">TEXT(D171,"ddd")</f>
        <v>Thu</v>
      </c>
      <c r="V171" s="13" t="n">
        <f aca="false">INT(D171)-INT(C171)</f>
        <v>4</v>
      </c>
      <c r="W171" s="13" t="str">
        <f aca="false">IF(M171="","No","Yes")</f>
        <v>Yes</v>
      </c>
      <c r="X171" s="13" t="n">
        <f aca="false">IF(AND(W171="Yes",S171&lt;&gt;""),ROUND((S171-C171)*24,1),"")</f>
        <v>21.2</v>
      </c>
      <c r="Y171" s="13" t="str">
        <f aca="false">IF(X171="","N/A",IF(X171&lt;=12,"Yes","No"))</f>
        <v>No</v>
      </c>
      <c r="Z171" s="13" t="str">
        <f aca="true">IF(B171="Pending",TODAY()-INT(C171),"")</f>
        <v/>
      </c>
    </row>
    <row r="172" customFormat="false" ht="15" hidden="false" customHeight="false" outlineLevel="0" collapsed="false">
      <c r="A172" s="13" t="s">
        <v>246</v>
      </c>
      <c r="B172" s="13" t="s">
        <v>39</v>
      </c>
      <c r="C172" s="14" t="n">
        <v>46188.6069444444</v>
      </c>
      <c r="D172" s="14" t="n">
        <v>46192.7291666667</v>
      </c>
      <c r="E172" s="15"/>
      <c r="F172" s="13" t="s">
        <v>73</v>
      </c>
      <c r="G172" s="13" t="s">
        <v>41</v>
      </c>
      <c r="H172" s="13" t="s">
        <v>42</v>
      </c>
      <c r="I172" s="13" t="s">
        <v>67</v>
      </c>
      <c r="J172" s="13" t="s">
        <v>131</v>
      </c>
      <c r="K172" s="13" t="s">
        <v>45</v>
      </c>
      <c r="L172" s="13" t="s">
        <v>60</v>
      </c>
      <c r="M172" s="13" t="s">
        <v>54</v>
      </c>
      <c r="N172" s="13" t="s">
        <v>62</v>
      </c>
      <c r="O172" s="13" t="s">
        <v>63</v>
      </c>
      <c r="P172" s="16"/>
      <c r="Q172" s="17"/>
      <c r="R172" s="13" t="s">
        <v>50</v>
      </c>
      <c r="S172" s="14" t="n">
        <v>46188.7652777778</v>
      </c>
      <c r="T172" s="13" t="str">
        <f aca="false">TEXT(D172,"mmm yyyy")</f>
        <v>Jun 2026</v>
      </c>
      <c r="U172" s="13" t="str">
        <f aca="false">TEXT(D172,"ddd")</f>
        <v>Fri</v>
      </c>
      <c r="V172" s="13" t="n">
        <f aca="false">INT(D172)-INT(C172)</f>
        <v>4</v>
      </c>
      <c r="W172" s="13" t="str">
        <f aca="false">IF(M172="","No","Yes")</f>
        <v>Yes</v>
      </c>
      <c r="X172" s="13" t="n">
        <f aca="false">IF(AND(W172="Yes",S172&lt;&gt;""),ROUND((S172-C172)*24,1),"")</f>
        <v>3.8</v>
      </c>
      <c r="Y172" s="13" t="str">
        <f aca="false">IF(X172="","N/A",IF(X172&lt;=12,"Yes","No"))</f>
        <v>Yes</v>
      </c>
      <c r="Z172" s="13" t="str">
        <f aca="true">IF(B172="Pending",TODAY()-INT(C172),"")</f>
        <v/>
      </c>
    </row>
    <row r="173" customFormat="false" ht="15" hidden="false" customHeight="false" outlineLevel="0" collapsed="false">
      <c r="A173" s="13" t="s">
        <v>247</v>
      </c>
      <c r="B173" s="13" t="s">
        <v>65</v>
      </c>
      <c r="C173" s="14" t="n">
        <v>46189.5479166667</v>
      </c>
      <c r="D173" s="14" t="n">
        <v>46193.2916666667</v>
      </c>
      <c r="E173" s="15"/>
      <c r="F173" s="13" t="s">
        <v>96</v>
      </c>
      <c r="G173" s="13" t="s">
        <v>66</v>
      </c>
      <c r="H173" s="13" t="s">
        <v>53</v>
      </c>
      <c r="I173" s="13" t="s">
        <v>42</v>
      </c>
      <c r="J173" s="13" t="s">
        <v>44</v>
      </c>
      <c r="K173" s="13" t="s">
        <v>45</v>
      </c>
      <c r="L173" s="13" t="s">
        <v>60</v>
      </c>
      <c r="M173" s="13"/>
      <c r="N173" s="13"/>
      <c r="O173" s="13"/>
      <c r="P173" s="16"/>
      <c r="Q173" s="17"/>
      <c r="R173" s="13" t="s">
        <v>50</v>
      </c>
      <c r="S173" s="14" t="n">
        <v>46189.7548611111</v>
      </c>
      <c r="T173" s="13" t="str">
        <f aca="false">TEXT(D173,"mmm yyyy")</f>
        <v>Jun 2026</v>
      </c>
      <c r="U173" s="13" t="str">
        <f aca="false">TEXT(D173,"ddd")</f>
        <v>Sat</v>
      </c>
      <c r="V173" s="13" t="n">
        <f aca="false">INT(D173)-INT(C173)</f>
        <v>4</v>
      </c>
      <c r="W173" s="13" t="str">
        <f aca="false">IF(M173="","No","Yes")</f>
        <v>No</v>
      </c>
      <c r="X173" s="13" t="str">
        <f aca="false">IF(AND(W173="Yes",S173&lt;&gt;""),ROUND((S173-C173)*24,1),"")</f>
        <v/>
      </c>
      <c r="Y173" s="13" t="str">
        <f aca="false">IF(X173="","N/A",IF(X173&lt;=12,"Yes","No"))</f>
        <v>N/A</v>
      </c>
      <c r="Z173" s="13" t="str">
        <f aca="true">IF(B173="Pending",TODAY()-INT(C173),"")</f>
        <v/>
      </c>
    </row>
    <row r="174" customFormat="false" ht="15" hidden="false" customHeight="false" outlineLevel="0" collapsed="false">
      <c r="A174" s="13" t="s">
        <v>248</v>
      </c>
      <c r="B174" s="13" t="s">
        <v>69</v>
      </c>
      <c r="C174" s="14" t="n">
        <v>46190.4923611111</v>
      </c>
      <c r="D174" s="14" t="n">
        <v>46194.5416666667</v>
      </c>
      <c r="E174" s="15"/>
      <c r="F174" s="13" t="s">
        <v>73</v>
      </c>
      <c r="G174" s="13" t="s">
        <v>66</v>
      </c>
      <c r="H174" s="13" t="s">
        <v>53</v>
      </c>
      <c r="I174" s="13" t="s">
        <v>78</v>
      </c>
      <c r="J174" s="13" t="s">
        <v>71</v>
      </c>
      <c r="K174" s="13" t="s">
        <v>45</v>
      </c>
      <c r="L174" s="13" t="s">
        <v>60</v>
      </c>
      <c r="M174" s="13"/>
      <c r="N174" s="13"/>
      <c r="O174" s="13"/>
      <c r="P174" s="16"/>
      <c r="Q174" s="17"/>
      <c r="R174" s="13" t="s">
        <v>50</v>
      </c>
      <c r="S174" s="14" t="n">
        <v>46190.8</v>
      </c>
      <c r="T174" s="13" t="str">
        <f aca="false">TEXT(D174,"mmm yyyy")</f>
        <v>Jun 2026</v>
      </c>
      <c r="U174" s="13" t="str">
        <f aca="false">TEXT(D174,"ddd")</f>
        <v>Sun</v>
      </c>
      <c r="V174" s="13" t="n">
        <f aca="false">INT(D174)-INT(C174)</f>
        <v>4</v>
      </c>
      <c r="W174" s="13" t="str">
        <f aca="false">IF(M174="","No","Yes")</f>
        <v>No</v>
      </c>
      <c r="X174" s="13" t="str">
        <f aca="false">IF(AND(W174="Yes",S174&lt;&gt;""),ROUND((S174-C174)*24,1),"")</f>
        <v/>
      </c>
      <c r="Y174" s="13" t="str">
        <f aca="false">IF(X174="","N/A",IF(X174&lt;=12,"Yes","No"))</f>
        <v>N/A</v>
      </c>
      <c r="Z174" s="13" t="str">
        <f aca="true">IF(B174="Pending",TODAY()-INT(C174),"")</f>
        <v/>
      </c>
    </row>
    <row r="175" customFormat="false" ht="15" hidden="false" customHeight="false" outlineLevel="0" collapsed="false">
      <c r="A175" s="13" t="s">
        <v>249</v>
      </c>
      <c r="B175" s="13" t="s">
        <v>83</v>
      </c>
      <c r="C175" s="14" t="n">
        <v>46191.3805555556</v>
      </c>
      <c r="D175" s="14" t="n">
        <v>46195.3333333333</v>
      </c>
      <c r="E175" s="15"/>
      <c r="F175" s="13" t="s">
        <v>73</v>
      </c>
      <c r="G175" s="13" t="s">
        <v>41</v>
      </c>
      <c r="H175" s="13" t="s">
        <v>42</v>
      </c>
      <c r="I175" s="13" t="s">
        <v>67</v>
      </c>
      <c r="J175" s="13" t="s">
        <v>131</v>
      </c>
      <c r="K175" s="13" t="s">
        <v>45</v>
      </c>
      <c r="L175" s="13" t="s">
        <v>60</v>
      </c>
      <c r="M175" s="13"/>
      <c r="N175" s="13"/>
      <c r="O175" s="13"/>
      <c r="P175" s="16"/>
      <c r="Q175" s="17"/>
      <c r="R175" s="13"/>
      <c r="S175" s="14"/>
      <c r="T175" s="13" t="str">
        <f aca="false">TEXT(D175,"mmm yyyy")</f>
        <v>Jun 2026</v>
      </c>
      <c r="U175" s="13" t="str">
        <f aca="false">TEXT(D175,"ddd")</f>
        <v>Mon</v>
      </c>
      <c r="V175" s="13" t="n">
        <f aca="false">INT(D175)-INT(C175)</f>
        <v>4</v>
      </c>
      <c r="W175" s="13" t="str">
        <f aca="false">IF(M175="","No","Yes")</f>
        <v>No</v>
      </c>
      <c r="X175" s="13" t="str">
        <f aca="false">IF(AND(W175="Yes",S175&lt;&gt;""),ROUND((S175-C175)*24,1),"")</f>
        <v/>
      </c>
      <c r="Y175" s="13" t="str">
        <f aca="false">IF(X175="","N/A",IF(X175&lt;=12,"Yes","No"))</f>
        <v>N/A</v>
      </c>
      <c r="Z175" s="18" t="n">
        <f aca="true">IF(B175="Pending",TODAY()-INT(C175),"")</f>
        <v>83</v>
      </c>
    </row>
    <row r="176" customFormat="false" ht="15" hidden="false" customHeight="false" outlineLevel="0" collapsed="false">
      <c r="A176" s="13" t="s">
        <v>250</v>
      </c>
      <c r="B176" s="13" t="s">
        <v>39</v>
      </c>
      <c r="C176" s="14" t="n">
        <v>46193.5125</v>
      </c>
      <c r="D176" s="14" t="n">
        <v>46197.7291666667</v>
      </c>
      <c r="E176" s="15" t="n">
        <v>0.0416666666666667</v>
      </c>
      <c r="F176" s="13" t="s">
        <v>88</v>
      </c>
      <c r="G176" s="13" t="s">
        <v>66</v>
      </c>
      <c r="H176" s="13" t="s">
        <v>42</v>
      </c>
      <c r="I176" s="13" t="s">
        <v>43</v>
      </c>
      <c r="J176" s="13" t="s">
        <v>44</v>
      </c>
      <c r="K176" s="13" t="s">
        <v>45</v>
      </c>
      <c r="L176" s="13" t="s">
        <v>46</v>
      </c>
      <c r="M176" s="13" t="s">
        <v>47</v>
      </c>
      <c r="N176" s="13" t="s">
        <v>48</v>
      </c>
      <c r="O176" s="13" t="s">
        <v>49</v>
      </c>
      <c r="P176" s="16"/>
      <c r="Q176" s="17"/>
      <c r="R176" s="13" t="s">
        <v>50</v>
      </c>
      <c r="S176" s="14" t="n">
        <v>46193.7923611111</v>
      </c>
      <c r="T176" s="13" t="str">
        <f aca="false">TEXT(D176,"mmm yyyy")</f>
        <v>Jun 2026</v>
      </c>
      <c r="U176" s="13" t="str">
        <f aca="false">TEXT(D176,"ddd")</f>
        <v>Wed</v>
      </c>
      <c r="V176" s="13" t="n">
        <f aca="false">INT(D176)-INT(C176)</f>
        <v>4</v>
      </c>
      <c r="W176" s="13" t="str">
        <f aca="false">IF(M176="","No","Yes")</f>
        <v>Yes</v>
      </c>
      <c r="X176" s="13" t="n">
        <f aca="false">IF(AND(W176="Yes",S176&lt;&gt;""),ROUND((S176-C176)*24,1),"")</f>
        <v>6.7</v>
      </c>
      <c r="Y176" s="13" t="str">
        <f aca="false">IF(X176="","N/A",IF(X176&lt;=12,"Yes","No"))</f>
        <v>Yes</v>
      </c>
      <c r="Z176" s="13" t="str">
        <f aca="true">IF(B176="Pending",TODAY()-INT(C176),"")</f>
        <v/>
      </c>
    </row>
    <row r="177" customFormat="false" ht="15" hidden="false" customHeight="false" outlineLevel="0" collapsed="false">
      <c r="A177" s="13" t="s">
        <v>251</v>
      </c>
      <c r="B177" s="13" t="s">
        <v>83</v>
      </c>
      <c r="C177" s="14" t="n">
        <v>46195.4951388889</v>
      </c>
      <c r="D177" s="14" t="n">
        <v>46199.3958333333</v>
      </c>
      <c r="E177" s="15"/>
      <c r="F177" s="13" t="s">
        <v>73</v>
      </c>
      <c r="G177" s="13" t="s">
        <v>41</v>
      </c>
      <c r="H177" s="13" t="s">
        <v>53</v>
      </c>
      <c r="I177" s="13" t="s">
        <v>78</v>
      </c>
      <c r="J177" s="13" t="s">
        <v>71</v>
      </c>
      <c r="K177" s="13" t="s">
        <v>45</v>
      </c>
      <c r="L177" s="13" t="s">
        <v>60</v>
      </c>
      <c r="M177" s="13"/>
      <c r="N177" s="13"/>
      <c r="O177" s="13"/>
      <c r="P177" s="16"/>
      <c r="Q177" s="17"/>
      <c r="R177" s="13"/>
      <c r="S177" s="14"/>
      <c r="T177" s="13" t="str">
        <f aca="false">TEXT(D177,"mmm yyyy")</f>
        <v>Jun 2026</v>
      </c>
      <c r="U177" s="13" t="str">
        <f aca="false">TEXT(D177,"ddd")</f>
        <v>Fri</v>
      </c>
      <c r="V177" s="13" t="n">
        <f aca="false">INT(D177)-INT(C177)</f>
        <v>4</v>
      </c>
      <c r="W177" s="13" t="str">
        <f aca="false">IF(M177="","No","Yes")</f>
        <v>No</v>
      </c>
      <c r="X177" s="13" t="str">
        <f aca="false">IF(AND(W177="Yes",S177&lt;&gt;""),ROUND((S177-C177)*24,1),"")</f>
        <v/>
      </c>
      <c r="Y177" s="13" t="str">
        <f aca="false">IF(X177="","N/A",IF(X177&lt;=12,"Yes","No"))</f>
        <v>N/A</v>
      </c>
      <c r="Z177" s="18" t="n">
        <f aca="true">IF(B177="Pending",TODAY()-INT(C177),"")</f>
        <v>79</v>
      </c>
    </row>
    <row r="178" customFormat="false" ht="15" hidden="false" customHeight="false" outlineLevel="0" collapsed="false">
      <c r="A178" s="13" t="s">
        <v>252</v>
      </c>
      <c r="B178" s="13" t="s">
        <v>39</v>
      </c>
      <c r="C178" s="14" t="n">
        <v>46196.7159722222</v>
      </c>
      <c r="D178" s="14" t="n">
        <v>46200.5416666667</v>
      </c>
      <c r="E178" s="15"/>
      <c r="F178" s="13" t="s">
        <v>58</v>
      </c>
      <c r="G178" s="13" t="s">
        <v>41</v>
      </c>
      <c r="H178" s="13" t="s">
        <v>53</v>
      </c>
      <c r="I178" s="13" t="s">
        <v>42</v>
      </c>
      <c r="J178" s="13" t="s">
        <v>44</v>
      </c>
      <c r="K178" s="13" t="s">
        <v>45</v>
      </c>
      <c r="L178" s="13" t="s">
        <v>60</v>
      </c>
      <c r="M178" s="13" t="s">
        <v>54</v>
      </c>
      <c r="N178" s="13" t="s">
        <v>55</v>
      </c>
      <c r="O178" s="13" t="s">
        <v>56</v>
      </c>
      <c r="P178" s="16"/>
      <c r="Q178" s="17"/>
      <c r="R178" s="13" t="s">
        <v>50</v>
      </c>
      <c r="S178" s="14" t="n">
        <v>46196.7659722222</v>
      </c>
      <c r="T178" s="13" t="str">
        <f aca="false">TEXT(D178,"mmm yyyy")</f>
        <v>Jun 2026</v>
      </c>
      <c r="U178" s="13" t="str">
        <f aca="false">TEXT(D178,"ddd")</f>
        <v>Sat</v>
      </c>
      <c r="V178" s="13" t="n">
        <f aca="false">INT(D178)-INT(C178)</f>
        <v>4</v>
      </c>
      <c r="W178" s="13" t="str">
        <f aca="false">IF(M178="","No","Yes")</f>
        <v>Yes</v>
      </c>
      <c r="X178" s="13" t="n">
        <f aca="false">IF(AND(W178="Yes",S178&lt;&gt;""),ROUND((S178-C178)*24,1),"")</f>
        <v>1.2</v>
      </c>
      <c r="Y178" s="13" t="str">
        <f aca="false">IF(X178="","N/A",IF(X178&lt;=12,"Yes","No"))</f>
        <v>Yes</v>
      </c>
      <c r="Z178" s="13" t="str">
        <f aca="true">IF(B178="Pending",TODAY()-INT(C178),"")</f>
        <v/>
      </c>
    </row>
    <row r="179" customFormat="false" ht="15" hidden="false" customHeight="false" outlineLevel="0" collapsed="false">
      <c r="A179" s="13" t="s">
        <v>253</v>
      </c>
      <c r="B179" s="13" t="s">
        <v>39</v>
      </c>
      <c r="C179" s="14" t="n">
        <v>46199.4118055556</v>
      </c>
      <c r="D179" s="14" t="n">
        <v>46201.2708333333</v>
      </c>
      <c r="E179" s="15"/>
      <c r="F179" s="13" t="s">
        <v>40</v>
      </c>
      <c r="G179" s="13" t="s">
        <v>41</v>
      </c>
      <c r="H179" s="13" t="s">
        <v>53</v>
      </c>
      <c r="I179" s="13" t="s">
        <v>42</v>
      </c>
      <c r="J179" s="13" t="s">
        <v>44</v>
      </c>
      <c r="K179" s="13" t="s">
        <v>45</v>
      </c>
      <c r="L179" s="13" t="s">
        <v>60</v>
      </c>
      <c r="M179" s="13" t="s">
        <v>47</v>
      </c>
      <c r="N179" s="13" t="s">
        <v>55</v>
      </c>
      <c r="O179" s="13" t="s">
        <v>56</v>
      </c>
      <c r="P179" s="16"/>
      <c r="Q179" s="17"/>
      <c r="R179" s="13" t="s">
        <v>50</v>
      </c>
      <c r="S179" s="14" t="n">
        <v>46199.7770833333</v>
      </c>
      <c r="T179" s="13" t="str">
        <f aca="false">TEXT(D179,"mmm yyyy")</f>
        <v>Jun 2026</v>
      </c>
      <c r="U179" s="13" t="str">
        <f aca="false">TEXT(D179,"ddd")</f>
        <v>Sun</v>
      </c>
      <c r="V179" s="13" t="n">
        <f aca="false">INT(D179)-INT(C179)</f>
        <v>2</v>
      </c>
      <c r="W179" s="13" t="str">
        <f aca="false">IF(M179="","No","Yes")</f>
        <v>Yes</v>
      </c>
      <c r="X179" s="13" t="n">
        <f aca="false">IF(AND(W179="Yes",S179&lt;&gt;""),ROUND((S179-C179)*24,1),"")</f>
        <v>8.8</v>
      </c>
      <c r="Y179" s="13" t="str">
        <f aca="false">IF(X179="","N/A",IF(X179&lt;=12,"Yes","No"))</f>
        <v>Yes</v>
      </c>
      <c r="Z179" s="13" t="str">
        <f aca="true">IF(B179="Pending",TODAY()-INT(C179),"")</f>
        <v/>
      </c>
    </row>
    <row r="180" customFormat="false" ht="15" hidden="false" customHeight="false" outlineLevel="0" collapsed="false">
      <c r="A180" s="13" t="s">
        <v>254</v>
      </c>
      <c r="B180" s="13" t="s">
        <v>69</v>
      </c>
      <c r="C180" s="14" t="n">
        <v>46198.375</v>
      </c>
      <c r="D180" s="14" t="n">
        <v>46201.5416666667</v>
      </c>
      <c r="E180" s="15"/>
      <c r="F180" s="13" t="s">
        <v>52</v>
      </c>
      <c r="G180" s="13" t="s">
        <v>66</v>
      </c>
      <c r="H180" s="13" t="s">
        <v>53</v>
      </c>
      <c r="I180" s="13" t="s">
        <v>42</v>
      </c>
      <c r="J180" s="13" t="s">
        <v>59</v>
      </c>
      <c r="K180" s="13" t="s">
        <v>45</v>
      </c>
      <c r="L180" s="13" t="s">
        <v>60</v>
      </c>
      <c r="M180" s="13"/>
      <c r="N180" s="13"/>
      <c r="O180" s="13"/>
      <c r="P180" s="16"/>
      <c r="Q180" s="17"/>
      <c r="R180" s="13" t="s">
        <v>50</v>
      </c>
      <c r="S180" s="14" t="n">
        <v>46198.75</v>
      </c>
      <c r="T180" s="13" t="str">
        <f aca="false">TEXT(D180,"mmm yyyy")</f>
        <v>Jun 2026</v>
      </c>
      <c r="U180" s="13" t="str">
        <f aca="false">TEXT(D180,"ddd")</f>
        <v>Sun</v>
      </c>
      <c r="V180" s="13" t="n">
        <f aca="false">INT(D180)-INT(C180)</f>
        <v>3</v>
      </c>
      <c r="W180" s="13" t="str">
        <f aca="false">IF(M180="","No","Yes")</f>
        <v>No</v>
      </c>
      <c r="X180" s="13" t="str">
        <f aca="false">IF(AND(W180="Yes",S180&lt;&gt;""),ROUND((S180-C180)*24,1),"")</f>
        <v/>
      </c>
      <c r="Y180" s="13" t="str">
        <f aca="false">IF(X180="","N/A",IF(X180&lt;=12,"Yes","No"))</f>
        <v>N/A</v>
      </c>
      <c r="Z180" s="13" t="str">
        <f aca="true">IF(B180="Pending",TODAY()-INT(C180),"")</f>
        <v/>
      </c>
    </row>
    <row r="181" customFormat="false" ht="15" hidden="false" customHeight="false" outlineLevel="0" collapsed="false">
      <c r="A181" s="13" t="s">
        <v>255</v>
      </c>
      <c r="B181" s="13" t="s">
        <v>69</v>
      </c>
      <c r="C181" s="14" t="n">
        <v>46198.3819444445</v>
      </c>
      <c r="D181" s="14" t="n">
        <v>46201.7291666667</v>
      </c>
      <c r="E181" s="15"/>
      <c r="F181" s="13" t="s">
        <v>88</v>
      </c>
      <c r="G181" s="13" t="s">
        <v>66</v>
      </c>
      <c r="H181" s="13" t="s">
        <v>42</v>
      </c>
      <c r="I181" s="13" t="s">
        <v>53</v>
      </c>
      <c r="J181" s="13" t="s">
        <v>131</v>
      </c>
      <c r="K181" s="13" t="s">
        <v>45</v>
      </c>
      <c r="L181" s="13" t="s">
        <v>60</v>
      </c>
      <c r="M181" s="13"/>
      <c r="N181" s="13"/>
      <c r="O181" s="13"/>
      <c r="P181" s="16"/>
      <c r="Q181" s="17"/>
      <c r="R181" s="13" t="s">
        <v>50</v>
      </c>
      <c r="S181" s="14" t="n">
        <v>46198.5131944444</v>
      </c>
      <c r="T181" s="13" t="str">
        <f aca="false">TEXT(D181,"mmm yyyy")</f>
        <v>Jun 2026</v>
      </c>
      <c r="U181" s="13" t="str">
        <f aca="false">TEXT(D181,"ddd")</f>
        <v>Sun</v>
      </c>
      <c r="V181" s="13" t="n">
        <f aca="false">INT(D181)-INT(C181)</f>
        <v>3</v>
      </c>
      <c r="W181" s="13" t="str">
        <f aca="false">IF(M181="","No","Yes")</f>
        <v>No</v>
      </c>
      <c r="X181" s="13" t="str">
        <f aca="false">IF(AND(W181="Yes",S181&lt;&gt;""),ROUND((S181-C181)*24,1),"")</f>
        <v/>
      </c>
      <c r="Y181" s="13" t="str">
        <f aca="false">IF(X181="","N/A",IF(X181&lt;=12,"Yes","No"))</f>
        <v>N/A</v>
      </c>
      <c r="Z181" s="13" t="str">
        <f aca="true">IF(B181="Pending",TODAY()-INT(C181),"")</f>
        <v/>
      </c>
    </row>
    <row r="182" customFormat="false" ht="15" hidden="false" customHeight="false" outlineLevel="0" collapsed="false">
      <c r="A182" s="13" t="s">
        <v>256</v>
      </c>
      <c r="B182" s="13" t="s">
        <v>39</v>
      </c>
      <c r="C182" s="14" t="n">
        <v>46204.7493055556</v>
      </c>
      <c r="D182" s="14" t="n">
        <v>46208.5416666667</v>
      </c>
      <c r="E182" s="15"/>
      <c r="F182" s="13" t="s">
        <v>73</v>
      </c>
      <c r="G182" s="13" t="s">
        <v>41</v>
      </c>
      <c r="H182" s="13" t="s">
        <v>53</v>
      </c>
      <c r="I182" s="13" t="s">
        <v>78</v>
      </c>
      <c r="J182" s="13" t="s">
        <v>59</v>
      </c>
      <c r="K182" s="13" t="s">
        <v>45</v>
      </c>
      <c r="L182" s="13" t="s">
        <v>60</v>
      </c>
      <c r="M182" s="13" t="s">
        <v>47</v>
      </c>
      <c r="N182" s="13" t="s">
        <v>62</v>
      </c>
      <c r="O182" s="13" t="s">
        <v>63</v>
      </c>
      <c r="P182" s="16"/>
      <c r="Q182" s="17"/>
      <c r="R182" s="13" t="s">
        <v>50</v>
      </c>
      <c r="S182" s="14" t="n">
        <v>46204.8847222222</v>
      </c>
      <c r="T182" s="13" t="str">
        <f aca="false">TEXT(D182,"mmm yyyy")</f>
        <v>Jul 2026</v>
      </c>
      <c r="U182" s="13" t="str">
        <f aca="false">TEXT(D182,"ddd")</f>
        <v>Sun</v>
      </c>
      <c r="V182" s="13" t="n">
        <f aca="false">INT(D182)-INT(C182)</f>
        <v>4</v>
      </c>
      <c r="W182" s="13" t="str">
        <f aca="false">IF(M182="","No","Yes")</f>
        <v>Yes</v>
      </c>
      <c r="X182" s="13" t="n">
        <f aca="false">IF(AND(W182="Yes",S182&lt;&gt;""),ROUND((S182-C182)*24,1),"")</f>
        <v>3.3</v>
      </c>
      <c r="Y182" s="13" t="str">
        <f aca="false">IF(X182="","N/A",IF(X182&lt;=12,"Yes","No"))</f>
        <v>Yes</v>
      </c>
      <c r="Z182" s="13" t="str">
        <f aca="true">IF(B182="Pending",TODAY()-INT(C182),"")</f>
        <v/>
      </c>
    </row>
    <row r="183" customFormat="false" ht="15" hidden="false" customHeight="false" outlineLevel="0" collapsed="false">
      <c r="A183" s="13" t="s">
        <v>257</v>
      </c>
      <c r="B183" s="13" t="s">
        <v>39</v>
      </c>
      <c r="C183" s="14" t="n">
        <v>46205.5159722222</v>
      </c>
      <c r="D183" s="14" t="n">
        <v>46209.2708333333</v>
      </c>
      <c r="E183" s="15" t="n">
        <v>0.708333333333333</v>
      </c>
      <c r="F183" s="13" t="s">
        <v>40</v>
      </c>
      <c r="G183" s="13" t="s">
        <v>41</v>
      </c>
      <c r="H183" s="13" t="s">
        <v>42</v>
      </c>
      <c r="I183" s="13" t="s">
        <v>43</v>
      </c>
      <c r="J183" s="13" t="s">
        <v>44</v>
      </c>
      <c r="K183" s="13" t="s">
        <v>45</v>
      </c>
      <c r="L183" s="13" t="s">
        <v>46</v>
      </c>
      <c r="M183" s="13" t="s">
        <v>90</v>
      </c>
      <c r="N183" s="13" t="s">
        <v>79</v>
      </c>
      <c r="O183" s="13" t="s">
        <v>80</v>
      </c>
      <c r="P183" s="16"/>
      <c r="Q183" s="17"/>
      <c r="R183" s="13" t="s">
        <v>50</v>
      </c>
      <c r="S183" s="14" t="n">
        <v>46205.5805555556</v>
      </c>
      <c r="T183" s="13" t="str">
        <f aca="false">TEXT(D183,"mmm yyyy")</f>
        <v>Jul 2026</v>
      </c>
      <c r="U183" s="13" t="str">
        <f aca="false">TEXT(D183,"ddd")</f>
        <v>Mon</v>
      </c>
      <c r="V183" s="13" t="n">
        <f aca="false">INT(D183)-INT(C183)</f>
        <v>4</v>
      </c>
      <c r="W183" s="13" t="str">
        <f aca="false">IF(M183="","No","Yes")</f>
        <v>Yes</v>
      </c>
      <c r="X183" s="13" t="n">
        <f aca="false">IF(AND(W183="Yes",S183&lt;&gt;""),ROUND((S183-C183)*24,1),"")</f>
        <v>1.6</v>
      </c>
      <c r="Y183" s="13" t="str">
        <f aca="false">IF(X183="","N/A",IF(X183&lt;=12,"Yes","No"))</f>
        <v>Yes</v>
      </c>
      <c r="Z183" s="13" t="str">
        <f aca="true">IF(B183="Pending",TODAY()-INT(C183),"")</f>
        <v/>
      </c>
    </row>
    <row r="184" customFormat="false" ht="15" hidden="false" customHeight="false" outlineLevel="0" collapsed="false">
      <c r="A184" s="13" t="s">
        <v>258</v>
      </c>
      <c r="B184" s="13" t="s">
        <v>69</v>
      </c>
      <c r="C184" s="14" t="n">
        <v>46205.5770833333</v>
      </c>
      <c r="D184" s="14" t="n">
        <v>46209.3958333333</v>
      </c>
      <c r="E184" s="15"/>
      <c r="F184" s="13" t="s">
        <v>58</v>
      </c>
      <c r="G184" s="13" t="s">
        <v>41</v>
      </c>
      <c r="H184" s="13" t="s">
        <v>53</v>
      </c>
      <c r="I184" s="13" t="s">
        <v>78</v>
      </c>
      <c r="J184" s="13" t="s">
        <v>71</v>
      </c>
      <c r="K184" s="13" t="s">
        <v>45</v>
      </c>
      <c r="L184" s="13" t="s">
        <v>60</v>
      </c>
      <c r="M184" s="13"/>
      <c r="N184" s="13"/>
      <c r="O184" s="13"/>
      <c r="P184" s="16"/>
      <c r="Q184" s="17"/>
      <c r="R184" s="13" t="s">
        <v>50</v>
      </c>
      <c r="S184" s="14" t="n">
        <v>46205.7680555556</v>
      </c>
      <c r="T184" s="13" t="str">
        <f aca="false">TEXT(D184,"mmm yyyy")</f>
        <v>Jul 2026</v>
      </c>
      <c r="U184" s="13" t="str">
        <f aca="false">TEXT(D184,"ddd")</f>
        <v>Mon</v>
      </c>
      <c r="V184" s="13" t="n">
        <f aca="false">INT(D184)-INT(C184)</f>
        <v>4</v>
      </c>
      <c r="W184" s="13" t="str">
        <f aca="false">IF(M184="","No","Yes")</f>
        <v>No</v>
      </c>
      <c r="X184" s="13" t="str">
        <f aca="false">IF(AND(W184="Yes",S184&lt;&gt;""),ROUND((S184-C184)*24,1),"")</f>
        <v/>
      </c>
      <c r="Y184" s="13" t="str">
        <f aca="false">IF(X184="","N/A",IF(X184&lt;=12,"Yes","No"))</f>
        <v>N/A</v>
      </c>
      <c r="Z184" s="13" t="str">
        <f aca="true">IF(B184="Pending",TODAY()-INT(C184),"")</f>
        <v/>
      </c>
    </row>
    <row r="185" customFormat="false" ht="15" hidden="false" customHeight="false" outlineLevel="0" collapsed="false">
      <c r="A185" s="13" t="s">
        <v>259</v>
      </c>
      <c r="B185" s="13" t="s">
        <v>65</v>
      </c>
      <c r="C185" s="14" t="n">
        <v>46205.7013888889</v>
      </c>
      <c r="D185" s="14" t="n">
        <v>46209.3958333333</v>
      </c>
      <c r="E185" s="15"/>
      <c r="F185" s="13" t="s">
        <v>88</v>
      </c>
      <c r="G185" s="13" t="s">
        <v>66</v>
      </c>
      <c r="H185" s="13" t="s">
        <v>53</v>
      </c>
      <c r="I185" s="13" t="s">
        <v>78</v>
      </c>
      <c r="J185" s="13" t="s">
        <v>59</v>
      </c>
      <c r="K185" s="13" t="s">
        <v>45</v>
      </c>
      <c r="L185" s="13" t="s">
        <v>60</v>
      </c>
      <c r="M185" s="13"/>
      <c r="N185" s="13"/>
      <c r="O185" s="13"/>
      <c r="P185" s="16"/>
      <c r="Q185" s="17"/>
      <c r="R185" s="13" t="s">
        <v>50</v>
      </c>
      <c r="S185" s="14" t="n">
        <v>46206.1194444444</v>
      </c>
      <c r="T185" s="13" t="str">
        <f aca="false">TEXT(D185,"mmm yyyy")</f>
        <v>Jul 2026</v>
      </c>
      <c r="U185" s="13" t="str">
        <f aca="false">TEXT(D185,"ddd")</f>
        <v>Mon</v>
      </c>
      <c r="V185" s="13" t="n">
        <f aca="false">INT(D185)-INT(C185)</f>
        <v>4</v>
      </c>
      <c r="W185" s="13" t="str">
        <f aca="false">IF(M185="","No","Yes")</f>
        <v>No</v>
      </c>
      <c r="X185" s="13" t="str">
        <f aca="false">IF(AND(W185="Yes",S185&lt;&gt;""),ROUND((S185-C185)*24,1),"")</f>
        <v/>
      </c>
      <c r="Y185" s="13" t="str">
        <f aca="false">IF(X185="","N/A",IF(X185&lt;=12,"Yes","No"))</f>
        <v>N/A</v>
      </c>
      <c r="Z185" s="13" t="str">
        <f aca="true">IF(B185="Pending",TODAY()-INT(C185),"")</f>
        <v/>
      </c>
    </row>
    <row r="186" customFormat="false" ht="15" hidden="false" customHeight="false" outlineLevel="0" collapsed="false">
      <c r="A186" s="13" t="s">
        <v>260</v>
      </c>
      <c r="B186" s="13" t="s">
        <v>65</v>
      </c>
      <c r="C186" s="14" t="n">
        <v>46205.3916666667</v>
      </c>
      <c r="D186" s="14" t="n">
        <v>46209.7291666667</v>
      </c>
      <c r="E186" s="15" t="n">
        <v>0.0416666666666667</v>
      </c>
      <c r="F186" s="13" t="s">
        <v>58</v>
      </c>
      <c r="G186" s="13" t="s">
        <v>41</v>
      </c>
      <c r="H186" s="13" t="s">
        <v>42</v>
      </c>
      <c r="I186" s="13" t="s">
        <v>43</v>
      </c>
      <c r="J186" s="13" t="s">
        <v>44</v>
      </c>
      <c r="K186" s="13" t="s">
        <v>45</v>
      </c>
      <c r="L186" s="13" t="s">
        <v>46</v>
      </c>
      <c r="M186" s="13"/>
      <c r="N186" s="13"/>
      <c r="O186" s="13"/>
      <c r="P186" s="16"/>
      <c r="Q186" s="17"/>
      <c r="R186" s="13" t="s">
        <v>50</v>
      </c>
      <c r="S186" s="14" t="n">
        <v>46205.7173611111</v>
      </c>
      <c r="T186" s="13" t="str">
        <f aca="false">TEXT(D186,"mmm yyyy")</f>
        <v>Jul 2026</v>
      </c>
      <c r="U186" s="13" t="str">
        <f aca="false">TEXT(D186,"ddd")</f>
        <v>Mon</v>
      </c>
      <c r="V186" s="13" t="n">
        <f aca="false">INT(D186)-INT(C186)</f>
        <v>4</v>
      </c>
      <c r="W186" s="13" t="str">
        <f aca="false">IF(M186="","No","Yes")</f>
        <v>No</v>
      </c>
      <c r="X186" s="13" t="str">
        <f aca="false">IF(AND(W186="Yes",S186&lt;&gt;""),ROUND((S186-C186)*24,1),"")</f>
        <v/>
      </c>
      <c r="Y186" s="13" t="str">
        <f aca="false">IF(X186="","N/A",IF(X186&lt;=12,"Yes","No"))</f>
        <v>N/A</v>
      </c>
      <c r="Z186" s="13" t="str">
        <f aca="true">IF(B186="Pending",TODAY()-INT(C186),"")</f>
        <v/>
      </c>
    </row>
    <row r="187" customFormat="false" ht="15" hidden="false" customHeight="false" outlineLevel="0" collapsed="false">
      <c r="A187" s="13" t="s">
        <v>261</v>
      </c>
      <c r="B187" s="13" t="s">
        <v>39</v>
      </c>
      <c r="C187" s="14" t="n">
        <v>46207.4722222222</v>
      </c>
      <c r="D187" s="14" t="n">
        <v>46211.7291666667</v>
      </c>
      <c r="E187" s="15"/>
      <c r="F187" s="13" t="s">
        <v>96</v>
      </c>
      <c r="G187" s="13" t="s">
        <v>66</v>
      </c>
      <c r="H187" s="13" t="s">
        <v>53</v>
      </c>
      <c r="I187" s="13" t="s">
        <v>42</v>
      </c>
      <c r="J187" s="13" t="s">
        <v>131</v>
      </c>
      <c r="K187" s="13" t="s">
        <v>45</v>
      </c>
      <c r="L187" s="13" t="s">
        <v>60</v>
      </c>
      <c r="M187" s="13" t="s">
        <v>47</v>
      </c>
      <c r="N187" s="13" t="s">
        <v>79</v>
      </c>
      <c r="O187" s="13" t="s">
        <v>80</v>
      </c>
      <c r="P187" s="16"/>
      <c r="Q187" s="17"/>
      <c r="R187" s="13" t="s">
        <v>50</v>
      </c>
      <c r="S187" s="14" t="n">
        <v>46207.5666666667</v>
      </c>
      <c r="T187" s="13" t="str">
        <f aca="false">TEXT(D187,"mmm yyyy")</f>
        <v>Jul 2026</v>
      </c>
      <c r="U187" s="13" t="str">
        <f aca="false">TEXT(D187,"ddd")</f>
        <v>Wed</v>
      </c>
      <c r="V187" s="13" t="n">
        <f aca="false">INT(D187)-INT(C187)</f>
        <v>4</v>
      </c>
      <c r="W187" s="13" t="str">
        <f aca="false">IF(M187="","No","Yes")</f>
        <v>Yes</v>
      </c>
      <c r="X187" s="13" t="n">
        <f aca="false">IF(AND(W187="Yes",S187&lt;&gt;""),ROUND((S187-C187)*24,1),"")</f>
        <v>2.3</v>
      </c>
      <c r="Y187" s="13" t="str">
        <f aca="false">IF(X187="","N/A",IF(X187&lt;=12,"Yes","No"))</f>
        <v>Yes</v>
      </c>
      <c r="Z187" s="13" t="str">
        <f aca="true">IF(B187="Pending",TODAY()-INT(C187),"")</f>
        <v/>
      </c>
    </row>
    <row r="188" customFormat="false" ht="15" hidden="false" customHeight="false" outlineLevel="0" collapsed="false">
      <c r="A188" s="13" t="s">
        <v>262</v>
      </c>
      <c r="B188" s="13" t="s">
        <v>39</v>
      </c>
      <c r="C188" s="14" t="n">
        <v>46210.5597222222</v>
      </c>
      <c r="D188" s="14" t="n">
        <v>46214.2916666667</v>
      </c>
      <c r="E188" s="15"/>
      <c r="F188" s="13" t="s">
        <v>73</v>
      </c>
      <c r="G188" s="13" t="s">
        <v>66</v>
      </c>
      <c r="H188" s="13" t="s">
        <v>42</v>
      </c>
      <c r="I188" s="13" t="s">
        <v>67</v>
      </c>
      <c r="J188" s="13" t="s">
        <v>71</v>
      </c>
      <c r="K188" s="13" t="s">
        <v>45</v>
      </c>
      <c r="L188" s="13" t="s">
        <v>60</v>
      </c>
      <c r="M188" s="13" t="s">
        <v>61</v>
      </c>
      <c r="N188" s="13" t="s">
        <v>79</v>
      </c>
      <c r="O188" s="13" t="s">
        <v>80</v>
      </c>
      <c r="P188" s="16"/>
      <c r="Q188" s="17"/>
      <c r="R188" s="13" t="s">
        <v>50</v>
      </c>
      <c r="S188" s="14" t="n">
        <v>46210.6715277778</v>
      </c>
      <c r="T188" s="13" t="str">
        <f aca="false">TEXT(D188,"mmm yyyy")</f>
        <v>Jul 2026</v>
      </c>
      <c r="U188" s="13" t="str">
        <f aca="false">TEXT(D188,"ddd")</f>
        <v>Sat</v>
      </c>
      <c r="V188" s="13" t="n">
        <f aca="false">INT(D188)-INT(C188)</f>
        <v>4</v>
      </c>
      <c r="W188" s="13" t="str">
        <f aca="false">IF(M188="","No","Yes")</f>
        <v>Yes</v>
      </c>
      <c r="X188" s="13" t="n">
        <f aca="false">IF(AND(W188="Yes",S188&lt;&gt;""),ROUND((S188-C188)*24,1),"")</f>
        <v>2.7</v>
      </c>
      <c r="Y188" s="13" t="str">
        <f aca="false">IF(X188="","N/A",IF(X188&lt;=12,"Yes","No"))</f>
        <v>Yes</v>
      </c>
      <c r="Z188" s="13" t="str">
        <f aca="true">IF(B188="Pending",TODAY()-INT(C188),"")</f>
        <v/>
      </c>
    </row>
    <row r="189" customFormat="false" ht="15" hidden="false" customHeight="false" outlineLevel="0" collapsed="false">
      <c r="A189" s="13" t="s">
        <v>263</v>
      </c>
      <c r="B189" s="13" t="s">
        <v>65</v>
      </c>
      <c r="C189" s="14" t="n">
        <v>46215.6895833333</v>
      </c>
      <c r="D189" s="14" t="n">
        <v>46219.2708333333</v>
      </c>
      <c r="E189" s="15"/>
      <c r="F189" s="13" t="s">
        <v>96</v>
      </c>
      <c r="G189" s="13" t="s">
        <v>66</v>
      </c>
      <c r="H189" s="13" t="s">
        <v>42</v>
      </c>
      <c r="I189" s="13" t="s">
        <v>53</v>
      </c>
      <c r="J189" s="13" t="s">
        <v>59</v>
      </c>
      <c r="K189" s="13" t="s">
        <v>45</v>
      </c>
      <c r="L189" s="13" t="s">
        <v>60</v>
      </c>
      <c r="M189" s="13"/>
      <c r="N189" s="13"/>
      <c r="O189" s="13"/>
      <c r="P189" s="16"/>
      <c r="Q189" s="17"/>
      <c r="R189" s="13" t="s">
        <v>50</v>
      </c>
      <c r="S189" s="14" t="n">
        <v>46215.7145833333</v>
      </c>
      <c r="T189" s="13" t="str">
        <f aca="false">TEXT(D189,"mmm yyyy")</f>
        <v>Jul 2026</v>
      </c>
      <c r="U189" s="13" t="str">
        <f aca="false">TEXT(D189,"ddd")</f>
        <v>Thu</v>
      </c>
      <c r="V189" s="13" t="n">
        <f aca="false">INT(D189)-INT(C189)</f>
        <v>4</v>
      </c>
      <c r="W189" s="13" t="str">
        <f aca="false">IF(M189="","No","Yes")</f>
        <v>No</v>
      </c>
      <c r="X189" s="13" t="str">
        <f aca="false">IF(AND(W189="Yes",S189&lt;&gt;""),ROUND((S189-C189)*24,1),"")</f>
        <v/>
      </c>
      <c r="Y189" s="13" t="str">
        <f aca="false">IF(X189="","N/A",IF(X189&lt;=12,"Yes","No"))</f>
        <v>N/A</v>
      </c>
      <c r="Z189" s="13" t="str">
        <f aca="true">IF(B189="Pending",TODAY()-INT(C189),"")</f>
        <v/>
      </c>
    </row>
    <row r="190" customFormat="false" ht="15" hidden="false" customHeight="false" outlineLevel="0" collapsed="false">
      <c r="A190" s="13" t="s">
        <v>264</v>
      </c>
      <c r="B190" s="13" t="s">
        <v>65</v>
      </c>
      <c r="C190" s="14" t="n">
        <v>46215.6680555556</v>
      </c>
      <c r="D190" s="14" t="n">
        <v>46219.3333333333</v>
      </c>
      <c r="E190" s="15"/>
      <c r="F190" s="13" t="s">
        <v>52</v>
      </c>
      <c r="G190" s="13" t="s">
        <v>66</v>
      </c>
      <c r="H190" s="13" t="s">
        <v>53</v>
      </c>
      <c r="I190" s="13" t="s">
        <v>78</v>
      </c>
      <c r="J190" s="13" t="s">
        <v>71</v>
      </c>
      <c r="K190" s="13" t="s">
        <v>45</v>
      </c>
      <c r="L190" s="13" t="s">
        <v>60</v>
      </c>
      <c r="M190" s="13"/>
      <c r="N190" s="13"/>
      <c r="O190" s="13"/>
      <c r="P190" s="16"/>
      <c r="Q190" s="17"/>
      <c r="R190" s="13" t="s">
        <v>50</v>
      </c>
      <c r="S190" s="14" t="n">
        <v>46215.7965277778</v>
      </c>
      <c r="T190" s="13" t="str">
        <f aca="false">TEXT(D190,"mmm yyyy")</f>
        <v>Jul 2026</v>
      </c>
      <c r="U190" s="13" t="str">
        <f aca="false">TEXT(D190,"ddd")</f>
        <v>Thu</v>
      </c>
      <c r="V190" s="13" t="n">
        <f aca="false">INT(D190)-INT(C190)</f>
        <v>4</v>
      </c>
      <c r="W190" s="13" t="str">
        <f aca="false">IF(M190="","No","Yes")</f>
        <v>No</v>
      </c>
      <c r="X190" s="13" t="str">
        <f aca="false">IF(AND(W190="Yes",S190&lt;&gt;""),ROUND((S190-C190)*24,1),"")</f>
        <v/>
      </c>
      <c r="Y190" s="13" t="str">
        <f aca="false">IF(X190="","N/A",IF(X190&lt;=12,"Yes","No"))</f>
        <v>N/A</v>
      </c>
      <c r="Z190" s="13" t="str">
        <f aca="true">IF(B190="Pending",TODAY()-INT(C190),"")</f>
        <v/>
      </c>
    </row>
    <row r="191" customFormat="false" ht="15" hidden="false" customHeight="false" outlineLevel="0" collapsed="false">
      <c r="A191" s="13" t="s">
        <v>265</v>
      </c>
      <c r="B191" s="13" t="s">
        <v>83</v>
      </c>
      <c r="C191" s="14" t="n">
        <v>46216.5090277778</v>
      </c>
      <c r="D191" s="14" t="n">
        <v>46220.5416666667</v>
      </c>
      <c r="E191" s="15"/>
      <c r="F191" s="13" t="s">
        <v>73</v>
      </c>
      <c r="G191" s="13" t="s">
        <v>41</v>
      </c>
      <c r="H191" s="13" t="s">
        <v>42</v>
      </c>
      <c r="I191" s="13" t="s">
        <v>53</v>
      </c>
      <c r="J191" s="13" t="s">
        <v>131</v>
      </c>
      <c r="K191" s="13" t="s">
        <v>45</v>
      </c>
      <c r="L191" s="13" t="s">
        <v>60</v>
      </c>
      <c r="M191" s="13"/>
      <c r="N191" s="13"/>
      <c r="O191" s="13"/>
      <c r="P191" s="16"/>
      <c r="Q191" s="17"/>
      <c r="R191" s="13"/>
      <c r="S191" s="14"/>
      <c r="T191" s="13" t="str">
        <f aca="false">TEXT(D191,"mmm yyyy")</f>
        <v>Jul 2026</v>
      </c>
      <c r="U191" s="13" t="str">
        <f aca="false">TEXT(D191,"ddd")</f>
        <v>Fri</v>
      </c>
      <c r="V191" s="13" t="n">
        <f aca="false">INT(D191)-INT(C191)</f>
        <v>4</v>
      </c>
      <c r="W191" s="13" t="str">
        <f aca="false">IF(M191="","No","Yes")</f>
        <v>No</v>
      </c>
      <c r="X191" s="13" t="str">
        <f aca="false">IF(AND(W191="Yes",S191&lt;&gt;""),ROUND((S191-C191)*24,1),"")</f>
        <v/>
      </c>
      <c r="Y191" s="13" t="str">
        <f aca="false">IF(X191="","N/A",IF(X191&lt;=12,"Yes","No"))</f>
        <v>N/A</v>
      </c>
      <c r="Z191" s="18" t="n">
        <f aca="true">IF(B191="Pending",TODAY()-INT(C191),"")</f>
        <v>58</v>
      </c>
    </row>
    <row r="192" customFormat="false" ht="15" hidden="false" customHeight="false" outlineLevel="0" collapsed="false">
      <c r="A192" s="13" t="s">
        <v>266</v>
      </c>
      <c r="B192" s="13" t="s">
        <v>83</v>
      </c>
      <c r="C192" s="14" t="n">
        <v>46217.4083333333</v>
      </c>
      <c r="D192" s="14" t="n">
        <v>46221.2708333333</v>
      </c>
      <c r="E192" s="15"/>
      <c r="F192" s="13" t="s">
        <v>73</v>
      </c>
      <c r="G192" s="13" t="s">
        <v>66</v>
      </c>
      <c r="H192" s="13" t="s">
        <v>53</v>
      </c>
      <c r="I192" s="13" t="s">
        <v>42</v>
      </c>
      <c r="J192" s="13" t="s">
        <v>71</v>
      </c>
      <c r="K192" s="13" t="s">
        <v>45</v>
      </c>
      <c r="L192" s="13" t="s">
        <v>60</v>
      </c>
      <c r="M192" s="13"/>
      <c r="N192" s="13"/>
      <c r="O192" s="13"/>
      <c r="P192" s="16"/>
      <c r="Q192" s="17"/>
      <c r="R192" s="13"/>
      <c r="S192" s="14"/>
      <c r="T192" s="13" t="str">
        <f aca="false">TEXT(D192,"mmm yyyy")</f>
        <v>Jul 2026</v>
      </c>
      <c r="U192" s="13" t="str">
        <f aca="false">TEXT(D192,"ddd")</f>
        <v>Sat</v>
      </c>
      <c r="V192" s="13" t="n">
        <f aca="false">INT(D192)-INT(C192)</f>
        <v>4</v>
      </c>
      <c r="W192" s="13" t="str">
        <f aca="false">IF(M192="","No","Yes")</f>
        <v>No</v>
      </c>
      <c r="X192" s="13" t="str">
        <f aca="false">IF(AND(W192="Yes",S192&lt;&gt;""),ROUND((S192-C192)*24,1),"")</f>
        <v/>
      </c>
      <c r="Y192" s="13" t="str">
        <f aca="false">IF(X192="","N/A",IF(X192&lt;=12,"Yes","No"))</f>
        <v>N/A</v>
      </c>
      <c r="Z192" s="18" t="n">
        <f aca="true">IF(B192="Pending",TODAY()-INT(C192),"")</f>
        <v>57</v>
      </c>
    </row>
    <row r="193" customFormat="false" ht="15" hidden="false" customHeight="false" outlineLevel="0" collapsed="false">
      <c r="A193" s="13" t="s">
        <v>267</v>
      </c>
      <c r="B193" s="13" t="s">
        <v>39</v>
      </c>
      <c r="C193" s="14" t="n">
        <v>46218.6541666667</v>
      </c>
      <c r="D193" s="14" t="n">
        <v>46222.2708333333</v>
      </c>
      <c r="E193" s="15"/>
      <c r="F193" s="13" t="s">
        <v>52</v>
      </c>
      <c r="G193" s="13" t="s">
        <v>66</v>
      </c>
      <c r="H193" s="13" t="s">
        <v>42</v>
      </c>
      <c r="I193" s="13" t="s">
        <v>67</v>
      </c>
      <c r="J193" s="13" t="s">
        <v>59</v>
      </c>
      <c r="K193" s="13" t="s">
        <v>45</v>
      </c>
      <c r="L193" s="13" t="s">
        <v>60</v>
      </c>
      <c r="M193" s="13" t="s">
        <v>90</v>
      </c>
      <c r="N193" s="13" t="s">
        <v>79</v>
      </c>
      <c r="O193" s="13" t="s">
        <v>80</v>
      </c>
      <c r="P193" s="16"/>
      <c r="Q193" s="17"/>
      <c r="R193" s="13" t="s">
        <v>50</v>
      </c>
      <c r="S193" s="14" t="n">
        <v>46218.6944444445</v>
      </c>
      <c r="T193" s="13" t="str">
        <f aca="false">TEXT(D193,"mmm yyyy")</f>
        <v>Jul 2026</v>
      </c>
      <c r="U193" s="13" t="str">
        <f aca="false">TEXT(D193,"ddd")</f>
        <v>Sun</v>
      </c>
      <c r="V193" s="13" t="n">
        <f aca="false">INT(D193)-INT(C193)</f>
        <v>4</v>
      </c>
      <c r="W193" s="13" t="str">
        <f aca="false">IF(M193="","No","Yes")</f>
        <v>Yes</v>
      </c>
      <c r="X193" s="13" t="n">
        <f aca="false">IF(AND(W193="Yes",S193&lt;&gt;""),ROUND((S193-C193)*24,1),"")</f>
        <v>1</v>
      </c>
      <c r="Y193" s="13" t="str">
        <f aca="false">IF(X193="","N/A",IF(X193&lt;=12,"Yes","No"))</f>
        <v>Yes</v>
      </c>
      <c r="Z193" s="13" t="str">
        <f aca="true">IF(B193="Pending",TODAY()-INT(C193),"")</f>
        <v/>
      </c>
    </row>
    <row r="194" customFormat="false" ht="15" hidden="false" customHeight="false" outlineLevel="0" collapsed="false">
      <c r="A194" s="13" t="s">
        <v>268</v>
      </c>
      <c r="B194" s="13" t="s">
        <v>39</v>
      </c>
      <c r="C194" s="14" t="n">
        <v>46219.7395833333</v>
      </c>
      <c r="D194" s="14" t="n">
        <v>46223.3333333333</v>
      </c>
      <c r="E194" s="15"/>
      <c r="F194" s="13" t="s">
        <v>96</v>
      </c>
      <c r="G194" s="13" t="s">
        <v>41</v>
      </c>
      <c r="H194" s="13" t="s">
        <v>42</v>
      </c>
      <c r="I194" s="13" t="s">
        <v>53</v>
      </c>
      <c r="J194" s="13" t="s">
        <v>71</v>
      </c>
      <c r="K194" s="13" t="s">
        <v>45</v>
      </c>
      <c r="L194" s="13" t="s">
        <v>60</v>
      </c>
      <c r="M194" s="13" t="s">
        <v>54</v>
      </c>
      <c r="N194" s="13" t="s">
        <v>48</v>
      </c>
      <c r="O194" s="13" t="s">
        <v>49</v>
      </c>
      <c r="P194" s="16"/>
      <c r="Q194" s="17"/>
      <c r="R194" s="13" t="s">
        <v>50</v>
      </c>
      <c r="S194" s="14" t="n">
        <v>46219.8333333333</v>
      </c>
      <c r="T194" s="13" t="str">
        <f aca="false">TEXT(D194,"mmm yyyy")</f>
        <v>Jul 2026</v>
      </c>
      <c r="U194" s="13" t="str">
        <f aca="false">TEXT(D194,"ddd")</f>
        <v>Mon</v>
      </c>
      <c r="V194" s="13" t="n">
        <f aca="false">INT(D194)-INT(C194)</f>
        <v>4</v>
      </c>
      <c r="W194" s="13" t="str">
        <f aca="false">IF(M194="","No","Yes")</f>
        <v>Yes</v>
      </c>
      <c r="X194" s="13" t="n">
        <f aca="false">IF(AND(W194="Yes",S194&lt;&gt;""),ROUND((S194-C194)*24,1),"")</f>
        <v>2.3</v>
      </c>
      <c r="Y194" s="13" t="str">
        <f aca="false">IF(X194="","N/A",IF(X194&lt;=12,"Yes","No"))</f>
        <v>Yes</v>
      </c>
      <c r="Z194" s="13" t="str">
        <f aca="true">IF(B194="Pending",TODAY()-INT(C194),"")</f>
        <v/>
      </c>
    </row>
    <row r="195" customFormat="false" ht="15" hidden="false" customHeight="false" outlineLevel="0" collapsed="false">
      <c r="A195" s="13" t="s">
        <v>269</v>
      </c>
      <c r="B195" s="13" t="s">
        <v>65</v>
      </c>
      <c r="C195" s="14" t="n">
        <v>46220.7409722222</v>
      </c>
      <c r="D195" s="14" t="n">
        <v>46224.3958333333</v>
      </c>
      <c r="E195" s="15"/>
      <c r="F195" s="13" t="s">
        <v>73</v>
      </c>
      <c r="G195" s="13" t="s">
        <v>41</v>
      </c>
      <c r="H195" s="13" t="s">
        <v>42</v>
      </c>
      <c r="I195" s="13" t="s">
        <v>53</v>
      </c>
      <c r="J195" s="13" t="s">
        <v>131</v>
      </c>
      <c r="K195" s="13" t="s">
        <v>45</v>
      </c>
      <c r="L195" s="13" t="s">
        <v>60</v>
      </c>
      <c r="M195" s="13"/>
      <c r="N195" s="13"/>
      <c r="O195" s="13"/>
      <c r="P195" s="16"/>
      <c r="Q195" s="17"/>
      <c r="R195" s="13" t="s">
        <v>50</v>
      </c>
      <c r="S195" s="14" t="n">
        <v>46221.40625</v>
      </c>
      <c r="T195" s="13" t="str">
        <f aca="false">TEXT(D195,"mmm yyyy")</f>
        <v>Jul 2026</v>
      </c>
      <c r="U195" s="13" t="str">
        <f aca="false">TEXT(D195,"ddd")</f>
        <v>Tue</v>
      </c>
      <c r="V195" s="13" t="n">
        <f aca="false">INT(D195)-INT(C195)</f>
        <v>4</v>
      </c>
      <c r="W195" s="13" t="str">
        <f aca="false">IF(M195="","No","Yes")</f>
        <v>No</v>
      </c>
      <c r="X195" s="13" t="str">
        <f aca="false">IF(AND(W195="Yes",S195&lt;&gt;""),ROUND((S195-C195)*24,1),"")</f>
        <v/>
      </c>
      <c r="Y195" s="13" t="str">
        <f aca="false">IF(X195="","N/A",IF(X195&lt;=12,"Yes","No"))</f>
        <v>N/A</v>
      </c>
      <c r="Z195" s="13" t="str">
        <f aca="true">IF(B195="Pending",TODAY()-INT(C195),"")</f>
        <v/>
      </c>
    </row>
    <row r="196" customFormat="false" ht="15" hidden="false" customHeight="false" outlineLevel="0" collapsed="false">
      <c r="A196" s="13" t="s">
        <v>270</v>
      </c>
      <c r="B196" s="13" t="s">
        <v>39</v>
      </c>
      <c r="C196" s="14" t="n">
        <v>46222.7472222222</v>
      </c>
      <c r="D196" s="14" t="n">
        <v>46226.2708333333</v>
      </c>
      <c r="E196" s="15"/>
      <c r="F196" s="13" t="s">
        <v>52</v>
      </c>
      <c r="G196" s="13" t="s">
        <v>66</v>
      </c>
      <c r="H196" s="13" t="s">
        <v>53</v>
      </c>
      <c r="I196" s="13" t="s">
        <v>42</v>
      </c>
      <c r="J196" s="13" t="s">
        <v>44</v>
      </c>
      <c r="K196" s="13" t="s">
        <v>45</v>
      </c>
      <c r="L196" s="13" t="s">
        <v>60</v>
      </c>
      <c r="M196" s="13" t="s">
        <v>47</v>
      </c>
      <c r="N196" s="13" t="s">
        <v>79</v>
      </c>
      <c r="O196" s="13" t="s">
        <v>80</v>
      </c>
      <c r="P196" s="16"/>
      <c r="Q196" s="17"/>
      <c r="R196" s="13" t="s">
        <v>50</v>
      </c>
      <c r="S196" s="14" t="n">
        <v>46222.8847222222</v>
      </c>
      <c r="T196" s="13" t="str">
        <f aca="false">TEXT(D196,"mmm yyyy")</f>
        <v>Jul 2026</v>
      </c>
      <c r="U196" s="13" t="str">
        <f aca="false">TEXT(D196,"ddd")</f>
        <v>Thu</v>
      </c>
      <c r="V196" s="13" t="n">
        <f aca="false">INT(D196)-INT(C196)</f>
        <v>4</v>
      </c>
      <c r="W196" s="13" t="str">
        <f aca="false">IF(M196="","No","Yes")</f>
        <v>Yes</v>
      </c>
      <c r="X196" s="13" t="n">
        <f aca="false">IF(AND(W196="Yes",S196&lt;&gt;""),ROUND((S196-C196)*24,1),"")</f>
        <v>3.3</v>
      </c>
      <c r="Y196" s="13" t="str">
        <f aca="false">IF(X196="","N/A",IF(X196&lt;=12,"Yes","No"))</f>
        <v>Yes</v>
      </c>
      <c r="Z196" s="13" t="str">
        <f aca="true">IF(B196="Pending",TODAY()-INT(C196),"")</f>
        <v/>
      </c>
    </row>
    <row r="197" customFormat="false" ht="15" hidden="false" customHeight="false" outlineLevel="0" collapsed="false">
      <c r="A197" s="13" t="s">
        <v>271</v>
      </c>
      <c r="B197" s="13" t="s">
        <v>69</v>
      </c>
      <c r="C197" s="14" t="n">
        <v>46222.5048611111</v>
      </c>
      <c r="D197" s="14" t="n">
        <v>46226.3333333333</v>
      </c>
      <c r="E197" s="15"/>
      <c r="F197" s="13" t="s">
        <v>40</v>
      </c>
      <c r="G197" s="13" t="s">
        <v>41</v>
      </c>
      <c r="H197" s="13" t="s">
        <v>42</v>
      </c>
      <c r="I197" s="13" t="s">
        <v>53</v>
      </c>
      <c r="J197" s="13" t="s">
        <v>59</v>
      </c>
      <c r="K197" s="13" t="s">
        <v>45</v>
      </c>
      <c r="L197" s="13" t="s">
        <v>60</v>
      </c>
      <c r="M197" s="13"/>
      <c r="N197" s="13"/>
      <c r="O197" s="13"/>
      <c r="P197" s="16"/>
      <c r="Q197" s="17"/>
      <c r="R197" s="13" t="s">
        <v>50</v>
      </c>
      <c r="S197" s="14" t="n">
        <v>46222.6541666667</v>
      </c>
      <c r="T197" s="13" t="str">
        <f aca="false">TEXT(D197,"mmm yyyy")</f>
        <v>Jul 2026</v>
      </c>
      <c r="U197" s="13" t="str">
        <f aca="false">TEXT(D197,"ddd")</f>
        <v>Thu</v>
      </c>
      <c r="V197" s="13" t="n">
        <f aca="false">INT(D197)-INT(C197)</f>
        <v>4</v>
      </c>
      <c r="W197" s="13" t="str">
        <f aca="false">IF(M197="","No","Yes")</f>
        <v>No</v>
      </c>
      <c r="X197" s="13" t="str">
        <f aca="false">IF(AND(W197="Yes",S197&lt;&gt;""),ROUND((S197-C197)*24,1),"")</f>
        <v/>
      </c>
      <c r="Y197" s="13" t="str">
        <f aca="false">IF(X197="","N/A",IF(X197&lt;=12,"Yes","No"))</f>
        <v>N/A</v>
      </c>
      <c r="Z197" s="13" t="str">
        <f aca="true">IF(B197="Pending",TODAY()-INT(C197),"")</f>
        <v/>
      </c>
    </row>
    <row r="198" customFormat="false" ht="15" hidden="false" customHeight="false" outlineLevel="0" collapsed="false">
      <c r="A198" s="13" t="s">
        <v>272</v>
      </c>
      <c r="B198" s="13" t="s">
        <v>83</v>
      </c>
      <c r="C198" s="14" t="n">
        <v>46223.5784722222</v>
      </c>
      <c r="D198" s="14" t="n">
        <v>46227.3958333333</v>
      </c>
      <c r="E198" s="15"/>
      <c r="F198" s="13" t="s">
        <v>52</v>
      </c>
      <c r="G198" s="13" t="s">
        <v>41</v>
      </c>
      <c r="H198" s="13" t="s">
        <v>53</v>
      </c>
      <c r="I198" s="13" t="s">
        <v>42</v>
      </c>
      <c r="J198" s="13" t="s">
        <v>131</v>
      </c>
      <c r="K198" s="13" t="s">
        <v>45</v>
      </c>
      <c r="L198" s="13" t="s">
        <v>60</v>
      </c>
      <c r="M198" s="13"/>
      <c r="N198" s="13"/>
      <c r="O198" s="13"/>
      <c r="P198" s="16"/>
      <c r="Q198" s="17"/>
      <c r="R198" s="13"/>
      <c r="S198" s="14"/>
      <c r="T198" s="13" t="str">
        <f aca="false">TEXT(D198,"mmm yyyy")</f>
        <v>Jul 2026</v>
      </c>
      <c r="U198" s="13" t="str">
        <f aca="false">TEXT(D198,"ddd")</f>
        <v>Fri</v>
      </c>
      <c r="V198" s="13" t="n">
        <f aca="false">INT(D198)-INT(C198)</f>
        <v>4</v>
      </c>
      <c r="W198" s="13" t="str">
        <f aca="false">IF(M198="","No","Yes")</f>
        <v>No</v>
      </c>
      <c r="X198" s="13" t="str">
        <f aca="false">IF(AND(W198="Yes",S198&lt;&gt;""),ROUND((S198-C198)*24,1),"")</f>
        <v/>
      </c>
      <c r="Y198" s="13" t="str">
        <f aca="false">IF(X198="","N/A",IF(X198&lt;=12,"Yes","No"))</f>
        <v>N/A</v>
      </c>
      <c r="Z198" s="18" t="n">
        <f aca="true">IF(B198="Pending",TODAY()-INT(C198),"")</f>
        <v>51</v>
      </c>
    </row>
    <row r="199" customFormat="false" ht="15" hidden="false" customHeight="false" outlineLevel="0" collapsed="false">
      <c r="A199" s="13" t="s">
        <v>273</v>
      </c>
      <c r="B199" s="13" t="s">
        <v>65</v>
      </c>
      <c r="C199" s="14" t="n">
        <v>46224.5027777778</v>
      </c>
      <c r="D199" s="14" t="n">
        <v>46228.2916666667</v>
      </c>
      <c r="E199" s="15"/>
      <c r="F199" s="13" t="s">
        <v>40</v>
      </c>
      <c r="G199" s="13" t="s">
        <v>66</v>
      </c>
      <c r="H199" s="13" t="s">
        <v>42</v>
      </c>
      <c r="I199" s="13" t="s">
        <v>53</v>
      </c>
      <c r="J199" s="13" t="s">
        <v>71</v>
      </c>
      <c r="K199" s="13" t="s">
        <v>45</v>
      </c>
      <c r="L199" s="13" t="s">
        <v>60</v>
      </c>
      <c r="M199" s="13"/>
      <c r="N199" s="13"/>
      <c r="O199" s="13"/>
      <c r="P199" s="16"/>
      <c r="Q199" s="17"/>
      <c r="R199" s="13" t="s">
        <v>50</v>
      </c>
      <c r="S199" s="14" t="n">
        <v>46224.7972222222</v>
      </c>
      <c r="T199" s="13" t="str">
        <f aca="false">TEXT(D199,"mmm yyyy")</f>
        <v>Jul 2026</v>
      </c>
      <c r="U199" s="13" t="str">
        <f aca="false">TEXT(D199,"ddd")</f>
        <v>Sat</v>
      </c>
      <c r="V199" s="13" t="n">
        <f aca="false">INT(D199)-INT(C199)</f>
        <v>4</v>
      </c>
      <c r="W199" s="13" t="str">
        <f aca="false">IF(M199="","No","Yes")</f>
        <v>No</v>
      </c>
      <c r="X199" s="13" t="str">
        <f aca="false">IF(AND(W199="Yes",S199&lt;&gt;""),ROUND((S199-C199)*24,1),"")</f>
        <v/>
      </c>
      <c r="Y199" s="13" t="str">
        <f aca="false">IF(X199="","N/A",IF(X199&lt;=12,"Yes","No"))</f>
        <v>N/A</v>
      </c>
      <c r="Z199" s="13" t="str">
        <f aca="true">IF(B199="Pending",TODAY()-INT(C199),"")</f>
        <v/>
      </c>
    </row>
    <row r="200" customFormat="false" ht="15" hidden="false" customHeight="false" outlineLevel="0" collapsed="false">
      <c r="A200" s="13" t="s">
        <v>274</v>
      </c>
      <c r="B200" s="13" t="s">
        <v>69</v>
      </c>
      <c r="C200" s="14" t="n">
        <v>46226.4222222222</v>
      </c>
      <c r="D200" s="14" t="n">
        <v>46230.3333333333</v>
      </c>
      <c r="E200" s="15" t="n">
        <v>0.708333333333333</v>
      </c>
      <c r="F200" s="13" t="s">
        <v>96</v>
      </c>
      <c r="G200" s="13" t="s">
        <v>66</v>
      </c>
      <c r="H200" s="13" t="s">
        <v>53</v>
      </c>
      <c r="I200" s="13" t="s">
        <v>43</v>
      </c>
      <c r="J200" s="13" t="s">
        <v>44</v>
      </c>
      <c r="K200" s="13" t="s">
        <v>45</v>
      </c>
      <c r="L200" s="13" t="s">
        <v>46</v>
      </c>
      <c r="M200" s="13"/>
      <c r="N200" s="13"/>
      <c r="O200" s="13"/>
      <c r="P200" s="16"/>
      <c r="Q200" s="17"/>
      <c r="R200" s="13" t="s">
        <v>50</v>
      </c>
      <c r="S200" s="14" t="n">
        <v>46226.5902777778</v>
      </c>
      <c r="T200" s="13" t="str">
        <f aca="false">TEXT(D200,"mmm yyyy")</f>
        <v>Jul 2026</v>
      </c>
      <c r="U200" s="13" t="str">
        <f aca="false">TEXT(D200,"ddd")</f>
        <v>Mon</v>
      </c>
      <c r="V200" s="13" t="n">
        <f aca="false">INT(D200)-INT(C200)</f>
        <v>4</v>
      </c>
      <c r="W200" s="13" t="str">
        <f aca="false">IF(M200="","No","Yes")</f>
        <v>No</v>
      </c>
      <c r="X200" s="13" t="str">
        <f aca="false">IF(AND(W200="Yes",S200&lt;&gt;""),ROUND((S200-C200)*24,1),"")</f>
        <v/>
      </c>
      <c r="Y200" s="13" t="str">
        <f aca="false">IF(X200="","N/A",IF(X200&lt;=12,"Yes","No"))</f>
        <v>N/A</v>
      </c>
      <c r="Z200" s="13" t="str">
        <f aca="true">IF(B200="Pending",TODAY()-INT(C200),"")</f>
        <v/>
      </c>
    </row>
    <row r="201" customFormat="false" ht="15" hidden="false" customHeight="false" outlineLevel="0" collapsed="false">
      <c r="A201" s="13" t="s">
        <v>275</v>
      </c>
      <c r="B201" s="13" t="s">
        <v>39</v>
      </c>
      <c r="C201" s="14" t="n">
        <v>46226.40625</v>
      </c>
      <c r="D201" s="14" t="n">
        <v>46230.7291666667</v>
      </c>
      <c r="E201" s="15" t="n">
        <v>0.0416666666666667</v>
      </c>
      <c r="F201" s="13" t="s">
        <v>73</v>
      </c>
      <c r="G201" s="13" t="s">
        <v>66</v>
      </c>
      <c r="H201" s="13" t="s">
        <v>53</v>
      </c>
      <c r="I201" s="13" t="s">
        <v>43</v>
      </c>
      <c r="J201" s="13" t="s">
        <v>44</v>
      </c>
      <c r="K201" s="13" t="s">
        <v>45</v>
      </c>
      <c r="L201" s="13" t="s">
        <v>46</v>
      </c>
      <c r="M201" s="13" t="s">
        <v>47</v>
      </c>
      <c r="N201" s="13" t="s">
        <v>62</v>
      </c>
      <c r="O201" s="13" t="s">
        <v>63</v>
      </c>
      <c r="P201" s="16"/>
      <c r="Q201" s="17"/>
      <c r="R201" s="13" t="s">
        <v>50</v>
      </c>
      <c r="S201" s="14" t="n">
        <v>46226.4291666667</v>
      </c>
      <c r="T201" s="13" t="str">
        <f aca="false">TEXT(D201,"mmm yyyy")</f>
        <v>Jul 2026</v>
      </c>
      <c r="U201" s="13" t="str">
        <f aca="false">TEXT(D201,"ddd")</f>
        <v>Mon</v>
      </c>
      <c r="V201" s="13" t="n">
        <f aca="false">INT(D201)-INT(C201)</f>
        <v>4</v>
      </c>
      <c r="W201" s="13" t="str">
        <f aca="false">IF(M201="","No","Yes")</f>
        <v>Yes</v>
      </c>
      <c r="X201" s="13" t="n">
        <f aca="false">IF(AND(W201="Yes",S201&lt;&gt;""),ROUND((S201-C201)*24,1),"")</f>
        <v>0.6</v>
      </c>
      <c r="Y201" s="13" t="str">
        <f aca="false">IF(X201="","N/A",IF(X201&lt;=12,"Yes","No"))</f>
        <v>Yes</v>
      </c>
      <c r="Z201" s="13" t="str">
        <f aca="true">IF(B201="Pending",TODAY()-INT(C201),"")</f>
        <v/>
      </c>
    </row>
    <row r="202" customFormat="false" ht="15" hidden="false" customHeight="false" outlineLevel="0" collapsed="false">
      <c r="A202" s="13" t="s">
        <v>276</v>
      </c>
      <c r="B202" s="13" t="s">
        <v>65</v>
      </c>
      <c r="C202" s="14" t="n">
        <v>46229.4291666667</v>
      </c>
      <c r="D202" s="14" t="n">
        <v>46231.3958333333</v>
      </c>
      <c r="E202" s="15" t="n">
        <v>0.708333333333333</v>
      </c>
      <c r="F202" s="13" t="s">
        <v>52</v>
      </c>
      <c r="G202" s="13" t="s">
        <v>66</v>
      </c>
      <c r="H202" s="13" t="s">
        <v>53</v>
      </c>
      <c r="I202" s="13" t="s">
        <v>43</v>
      </c>
      <c r="J202" s="13" t="s">
        <v>44</v>
      </c>
      <c r="K202" s="13" t="s">
        <v>45</v>
      </c>
      <c r="L202" s="13" t="s">
        <v>46</v>
      </c>
      <c r="M202" s="13"/>
      <c r="N202" s="13"/>
      <c r="O202" s="13"/>
      <c r="P202" s="16"/>
      <c r="Q202" s="17"/>
      <c r="R202" s="13" t="s">
        <v>50</v>
      </c>
      <c r="S202" s="14" t="n">
        <v>46230.1444444444</v>
      </c>
      <c r="T202" s="13" t="str">
        <f aca="false">TEXT(D202,"mmm yyyy")</f>
        <v>Jul 2026</v>
      </c>
      <c r="U202" s="13" t="str">
        <f aca="false">TEXT(D202,"ddd")</f>
        <v>Tue</v>
      </c>
      <c r="V202" s="13" t="n">
        <f aca="false">INT(D202)-INT(C202)</f>
        <v>2</v>
      </c>
      <c r="W202" s="13" t="str">
        <f aca="false">IF(M202="","No","Yes")</f>
        <v>No</v>
      </c>
      <c r="X202" s="13" t="str">
        <f aca="false">IF(AND(W202="Yes",S202&lt;&gt;""),ROUND((S202-C202)*24,1),"")</f>
        <v/>
      </c>
      <c r="Y202" s="13" t="str">
        <f aca="false">IF(X202="","N/A",IF(X202&lt;=12,"Yes","No"))</f>
        <v>N/A</v>
      </c>
      <c r="Z202" s="13" t="str">
        <f aca="true">IF(B202="Pending",TODAY()-INT(C202),"")</f>
        <v/>
      </c>
    </row>
    <row r="203" customFormat="false" ht="15" hidden="false" customHeight="false" outlineLevel="0" collapsed="false">
      <c r="A203" s="13" t="s">
        <v>277</v>
      </c>
      <c r="B203" s="13" t="s">
        <v>39</v>
      </c>
      <c r="C203" s="14" t="n">
        <v>46228.4625</v>
      </c>
      <c r="D203" s="14" t="n">
        <v>46231.5416666667</v>
      </c>
      <c r="E203" s="15"/>
      <c r="F203" s="13" t="s">
        <v>88</v>
      </c>
      <c r="G203" s="13" t="s">
        <v>66</v>
      </c>
      <c r="H203" s="13" t="s">
        <v>53</v>
      </c>
      <c r="I203" s="13" t="s">
        <v>78</v>
      </c>
      <c r="J203" s="13" t="s">
        <v>59</v>
      </c>
      <c r="K203" s="13" t="s">
        <v>45</v>
      </c>
      <c r="L203" s="13" t="s">
        <v>60</v>
      </c>
      <c r="M203" s="13" t="s">
        <v>61</v>
      </c>
      <c r="N203" s="13" t="s">
        <v>55</v>
      </c>
      <c r="O203" s="13" t="s">
        <v>56</v>
      </c>
      <c r="P203" s="16"/>
      <c r="Q203" s="17"/>
      <c r="R203" s="13" t="s">
        <v>50</v>
      </c>
      <c r="S203" s="14" t="n">
        <v>46228.8243055556</v>
      </c>
      <c r="T203" s="13" t="str">
        <f aca="false">TEXT(D203,"mmm yyyy")</f>
        <v>Jul 2026</v>
      </c>
      <c r="U203" s="13" t="str">
        <f aca="false">TEXT(D203,"ddd")</f>
        <v>Tue</v>
      </c>
      <c r="V203" s="13" t="n">
        <f aca="false">INT(D203)-INT(C203)</f>
        <v>3</v>
      </c>
      <c r="W203" s="13" t="str">
        <f aca="false">IF(M203="","No","Yes")</f>
        <v>Yes</v>
      </c>
      <c r="X203" s="13" t="n">
        <f aca="false">IF(AND(W203="Yes",S203&lt;&gt;""),ROUND((S203-C203)*24,1),"")</f>
        <v>8.7</v>
      </c>
      <c r="Y203" s="13" t="str">
        <f aca="false">IF(X203="","N/A",IF(X203&lt;=12,"Yes","No"))</f>
        <v>Yes</v>
      </c>
      <c r="Z203" s="13" t="str">
        <f aca="true">IF(B203="Pending",TODAY()-INT(C203),"")</f>
        <v/>
      </c>
    </row>
    <row r="204" customFormat="false" ht="15" hidden="false" customHeight="false" outlineLevel="0" collapsed="false">
      <c r="A204" s="13" t="s">
        <v>278</v>
      </c>
      <c r="B204" s="13" t="s">
        <v>83</v>
      </c>
      <c r="C204" s="14" t="n">
        <v>46221.5416666667</v>
      </c>
      <c r="D204" s="14" t="n">
        <v>46233.2916666667</v>
      </c>
      <c r="E204" s="15" t="n">
        <v>0.708333333333333</v>
      </c>
      <c r="F204" s="13" t="s">
        <v>58</v>
      </c>
      <c r="G204" s="13" t="s">
        <v>41</v>
      </c>
      <c r="H204" s="13" t="s">
        <v>53</v>
      </c>
      <c r="I204" s="13" t="s">
        <v>43</v>
      </c>
      <c r="J204" s="13" t="s">
        <v>44</v>
      </c>
      <c r="K204" s="13" t="s">
        <v>279</v>
      </c>
      <c r="L204" s="13" t="s">
        <v>46</v>
      </c>
      <c r="M204" s="13"/>
      <c r="N204" s="13"/>
      <c r="O204" s="13"/>
      <c r="P204" s="16"/>
      <c r="Q204" s="17"/>
      <c r="R204" s="13" t="s">
        <v>58</v>
      </c>
      <c r="S204" s="14" t="n">
        <v>46221.625</v>
      </c>
      <c r="T204" s="13" t="str">
        <f aca="false">TEXT(D204,"mmm yyyy")</f>
        <v>Jul 2026</v>
      </c>
      <c r="U204" s="13" t="str">
        <f aca="false">TEXT(D204,"ddd")</f>
        <v>Thu</v>
      </c>
      <c r="V204" s="13" t="n">
        <f aca="false">INT(D204)-INT(C204)</f>
        <v>12</v>
      </c>
      <c r="W204" s="13" t="str">
        <f aca="false">IF(M204="","No","Yes")</f>
        <v>No</v>
      </c>
      <c r="X204" s="13" t="str">
        <f aca="false">IF(AND(W204="Yes",S204&lt;&gt;""),ROUND((S204-C204)*24,1),"")</f>
        <v/>
      </c>
      <c r="Y204" s="13" t="str">
        <f aca="false">IF(X204="","N/A",IF(X204&lt;=12,"Yes","No"))</f>
        <v>N/A</v>
      </c>
      <c r="Z204" s="18" t="n">
        <f aca="true">IF(B204="Pending",TODAY()-INT(C204),"")</f>
        <v>53</v>
      </c>
    </row>
    <row r="205" customFormat="false" ht="15" hidden="false" customHeight="false" outlineLevel="0" collapsed="false">
      <c r="A205" s="13" t="s">
        <v>280</v>
      </c>
      <c r="B205" s="13" t="s">
        <v>69</v>
      </c>
      <c r="C205" s="14" t="n">
        <v>46227.4791666667</v>
      </c>
      <c r="D205" s="14" t="n">
        <v>46236.7291666667</v>
      </c>
      <c r="E205" s="15"/>
      <c r="F205" s="13" t="s">
        <v>88</v>
      </c>
      <c r="G205" s="13" t="s">
        <v>66</v>
      </c>
      <c r="H205" s="13" t="s">
        <v>281</v>
      </c>
      <c r="I205" s="13" t="s">
        <v>282</v>
      </c>
      <c r="J205" s="13" t="s">
        <v>131</v>
      </c>
      <c r="K205" s="13" t="s">
        <v>283</v>
      </c>
      <c r="L205" s="13" t="s">
        <v>60</v>
      </c>
      <c r="M205" s="13"/>
      <c r="N205" s="13"/>
      <c r="O205" s="13"/>
      <c r="P205" s="16"/>
      <c r="Q205" s="17"/>
      <c r="R205" s="13" t="s">
        <v>52</v>
      </c>
      <c r="S205" s="14" t="n">
        <v>46238.7222222222</v>
      </c>
      <c r="T205" s="13" t="str">
        <f aca="false">TEXT(D205,"mmm yyyy")</f>
        <v>Aug 2026</v>
      </c>
      <c r="U205" s="13" t="str">
        <f aca="false">TEXT(D205,"ddd")</f>
        <v>Sun</v>
      </c>
      <c r="V205" s="13" t="n">
        <f aca="false">INT(D205)-INT(C205)</f>
        <v>9</v>
      </c>
      <c r="W205" s="13" t="str">
        <f aca="false">IF(M205="","No","Yes")</f>
        <v>No</v>
      </c>
      <c r="X205" s="13" t="str">
        <f aca="false">IF(AND(W205="Yes",S205&lt;&gt;""),ROUND((S205-C205)*24,1),"")</f>
        <v/>
      </c>
      <c r="Y205" s="13" t="str">
        <f aca="false">IF(X205="","N/A",IF(X205&lt;=12,"Yes","No"))</f>
        <v>N/A</v>
      </c>
      <c r="Z205" s="13" t="str">
        <f aca="true">IF(B205="Pending",TODAY()-INT(C205),"")</f>
        <v/>
      </c>
    </row>
    <row r="206" customFormat="false" ht="15" hidden="false" customHeight="false" outlineLevel="0" collapsed="false">
      <c r="A206" s="13" t="s">
        <v>284</v>
      </c>
      <c r="B206" s="13" t="s">
        <v>39</v>
      </c>
      <c r="C206" s="14" t="n">
        <v>46235.4638888889</v>
      </c>
      <c r="D206" s="14" t="n">
        <v>46239.7291666667</v>
      </c>
      <c r="E206" s="15"/>
      <c r="F206" s="13" t="s">
        <v>73</v>
      </c>
      <c r="G206" s="13" t="s">
        <v>66</v>
      </c>
      <c r="H206" s="13" t="s">
        <v>53</v>
      </c>
      <c r="I206" s="13" t="s">
        <v>78</v>
      </c>
      <c r="J206" s="13" t="s">
        <v>131</v>
      </c>
      <c r="K206" s="13" t="s">
        <v>45</v>
      </c>
      <c r="L206" s="13" t="s">
        <v>60</v>
      </c>
      <c r="M206" s="13" t="s">
        <v>61</v>
      </c>
      <c r="N206" s="13" t="s">
        <v>55</v>
      </c>
      <c r="O206" s="13" t="s">
        <v>56</v>
      </c>
      <c r="P206" s="16"/>
      <c r="Q206" s="17"/>
      <c r="R206" s="13" t="s">
        <v>50</v>
      </c>
      <c r="S206" s="14" t="n">
        <v>46236.7222222222</v>
      </c>
      <c r="T206" s="13" t="str">
        <f aca="false">TEXT(D206,"mmm yyyy")</f>
        <v>Aug 2026</v>
      </c>
      <c r="U206" s="13" t="str">
        <f aca="false">TEXT(D206,"ddd")</f>
        <v>Wed</v>
      </c>
      <c r="V206" s="13" t="n">
        <f aca="false">INT(D206)-INT(C206)</f>
        <v>4</v>
      </c>
      <c r="W206" s="13" t="str">
        <f aca="false">IF(M206="","No","Yes")</f>
        <v>Yes</v>
      </c>
      <c r="X206" s="13" t="n">
        <f aca="false">IF(AND(W206="Yes",S206&lt;&gt;""),ROUND((S206-C206)*24,1),"")</f>
        <v>30.2</v>
      </c>
      <c r="Y206" s="13" t="str">
        <f aca="false">IF(X206="","N/A",IF(X206&lt;=12,"Yes","No"))</f>
        <v>No</v>
      </c>
      <c r="Z206" s="13" t="str">
        <f aca="true">IF(B206="Pending",TODAY()-INT(C206),"")</f>
        <v/>
      </c>
    </row>
    <row r="207" customFormat="false" ht="15" hidden="false" customHeight="false" outlineLevel="0" collapsed="false">
      <c r="A207" s="13" t="s">
        <v>285</v>
      </c>
      <c r="B207" s="13" t="s">
        <v>39</v>
      </c>
      <c r="C207" s="14" t="n">
        <v>46236.7458333333</v>
      </c>
      <c r="D207" s="14" t="n">
        <v>46240.3333333333</v>
      </c>
      <c r="E207" s="15" t="n">
        <v>0.708333333333333</v>
      </c>
      <c r="F207" s="13" t="s">
        <v>73</v>
      </c>
      <c r="G207" s="13" t="s">
        <v>41</v>
      </c>
      <c r="H207" s="13" t="s">
        <v>42</v>
      </c>
      <c r="I207" s="13" t="s">
        <v>43</v>
      </c>
      <c r="J207" s="13" t="s">
        <v>44</v>
      </c>
      <c r="K207" s="13" t="s">
        <v>45</v>
      </c>
      <c r="L207" s="13" t="s">
        <v>46</v>
      </c>
      <c r="M207" s="13" t="s">
        <v>90</v>
      </c>
      <c r="N207" s="13" t="s">
        <v>48</v>
      </c>
      <c r="O207" s="13" t="s">
        <v>49</v>
      </c>
      <c r="P207" s="16"/>
      <c r="Q207" s="17"/>
      <c r="R207" s="13" t="s">
        <v>50</v>
      </c>
      <c r="S207" s="14" t="n">
        <v>46237.7902777778</v>
      </c>
      <c r="T207" s="13" t="str">
        <f aca="false">TEXT(D207,"mmm yyyy")</f>
        <v>Aug 2026</v>
      </c>
      <c r="U207" s="13" t="str">
        <f aca="false">TEXT(D207,"ddd")</f>
        <v>Thu</v>
      </c>
      <c r="V207" s="13" t="n">
        <f aca="false">INT(D207)-INT(C207)</f>
        <v>4</v>
      </c>
      <c r="W207" s="13" t="str">
        <f aca="false">IF(M207="","No","Yes")</f>
        <v>Yes</v>
      </c>
      <c r="X207" s="13" t="n">
        <f aca="false">IF(AND(W207="Yes",S207&lt;&gt;""),ROUND((S207-C207)*24,1),"")</f>
        <v>25.1</v>
      </c>
      <c r="Y207" s="13" t="str">
        <f aca="false">IF(X207="","N/A",IF(X207&lt;=12,"Yes","No"))</f>
        <v>No</v>
      </c>
      <c r="Z207" s="13" t="str">
        <f aca="true">IF(B207="Pending",TODAY()-INT(C207),"")</f>
        <v/>
      </c>
    </row>
    <row r="208" customFormat="false" ht="15" hidden="false" customHeight="false" outlineLevel="0" collapsed="false">
      <c r="A208" s="13" t="s">
        <v>286</v>
      </c>
      <c r="B208" s="13" t="s">
        <v>65</v>
      </c>
      <c r="C208" s="14" t="n">
        <v>46232.5868055556</v>
      </c>
      <c r="D208" s="14" t="n">
        <v>46240.375</v>
      </c>
      <c r="E208" s="15"/>
      <c r="F208" s="13" t="s">
        <v>88</v>
      </c>
      <c r="G208" s="13" t="s">
        <v>66</v>
      </c>
      <c r="H208" s="13" t="s">
        <v>281</v>
      </c>
      <c r="I208" s="13" t="s">
        <v>282</v>
      </c>
      <c r="J208" s="13" t="s">
        <v>131</v>
      </c>
      <c r="K208" s="13" t="s">
        <v>287</v>
      </c>
      <c r="L208" s="13" t="s">
        <v>60</v>
      </c>
      <c r="M208" s="13"/>
      <c r="N208" s="13"/>
      <c r="O208" s="13"/>
      <c r="P208" s="16"/>
      <c r="Q208" s="17"/>
      <c r="R208" s="13" t="s">
        <v>288</v>
      </c>
      <c r="S208" s="14" t="n">
        <v>46238.7222222222</v>
      </c>
      <c r="T208" s="13" t="str">
        <f aca="false">TEXT(D208,"mmm yyyy")</f>
        <v>Aug 2026</v>
      </c>
      <c r="U208" s="13" t="str">
        <f aca="false">TEXT(D208,"ddd")</f>
        <v>Thu</v>
      </c>
      <c r="V208" s="13" t="n">
        <f aca="false">INT(D208)-INT(C208)</f>
        <v>8</v>
      </c>
      <c r="W208" s="13" t="str">
        <f aca="false">IF(M208="","No","Yes")</f>
        <v>No</v>
      </c>
      <c r="X208" s="13" t="str">
        <f aca="false">IF(AND(W208="Yes",S208&lt;&gt;""),ROUND((S208-C208)*24,1),"")</f>
        <v/>
      </c>
      <c r="Y208" s="13" t="str">
        <f aca="false">IF(X208="","N/A",IF(X208&lt;=12,"Yes","No"))</f>
        <v>N/A</v>
      </c>
      <c r="Z208" s="13" t="str">
        <f aca="true">IF(B208="Pending",TODAY()-INT(C208),"")</f>
        <v/>
      </c>
    </row>
    <row r="209" customFormat="false" ht="15" hidden="false" customHeight="false" outlineLevel="0" collapsed="false">
      <c r="A209" s="13" t="s">
        <v>289</v>
      </c>
      <c r="B209" s="13" t="s">
        <v>39</v>
      </c>
      <c r="C209" s="14" t="n">
        <v>46235.4444444445</v>
      </c>
      <c r="D209" s="14" t="n">
        <v>46241.3333333333</v>
      </c>
      <c r="E209" s="15"/>
      <c r="F209" s="13" t="s">
        <v>88</v>
      </c>
      <c r="G209" s="13" t="s">
        <v>66</v>
      </c>
      <c r="H209" s="13" t="s">
        <v>281</v>
      </c>
      <c r="I209" s="13" t="s">
        <v>282</v>
      </c>
      <c r="J209" s="13" t="s">
        <v>131</v>
      </c>
      <c r="K209" s="13" t="s">
        <v>290</v>
      </c>
      <c r="L209" s="13" t="s">
        <v>60</v>
      </c>
      <c r="M209" s="13" t="s">
        <v>90</v>
      </c>
      <c r="N209" s="13" t="s">
        <v>48</v>
      </c>
      <c r="O209" s="13" t="s">
        <v>49</v>
      </c>
      <c r="P209" s="16"/>
      <c r="Q209" s="17"/>
      <c r="R209" s="13" t="s">
        <v>50</v>
      </c>
      <c r="S209" s="14" t="n">
        <v>46238.7222222222</v>
      </c>
      <c r="T209" s="13" t="str">
        <f aca="false">TEXT(D209,"mmm yyyy")</f>
        <v>Aug 2026</v>
      </c>
      <c r="U209" s="13" t="str">
        <f aca="false">TEXT(D209,"ddd")</f>
        <v>Fri</v>
      </c>
      <c r="V209" s="13" t="n">
        <f aca="false">INT(D209)-INT(C209)</f>
        <v>6</v>
      </c>
      <c r="W209" s="13" t="str">
        <f aca="false">IF(M209="","No","Yes")</f>
        <v>Yes</v>
      </c>
      <c r="X209" s="13" t="n">
        <f aca="false">IF(AND(W209="Yes",S209&lt;&gt;""),ROUND((S209-C209)*24,1),"")</f>
        <v>78.7</v>
      </c>
      <c r="Y209" s="13" t="str">
        <f aca="false">IF(X209="","N/A",IF(X209&lt;=12,"Yes","No"))</f>
        <v>No</v>
      </c>
      <c r="Z209" s="13" t="str">
        <f aca="true">IF(B209="Pending",TODAY()-INT(C209),"")</f>
        <v/>
      </c>
    </row>
    <row r="210" customFormat="false" ht="15" hidden="false" customHeight="false" outlineLevel="0" collapsed="false">
      <c r="A210" s="13" t="s">
        <v>291</v>
      </c>
      <c r="B210" s="13" t="s">
        <v>83</v>
      </c>
      <c r="C210" s="14" t="n">
        <v>46237.3833333333</v>
      </c>
      <c r="D210" s="14" t="n">
        <v>46242.2708333333</v>
      </c>
      <c r="E210" s="15"/>
      <c r="F210" s="13" t="s">
        <v>88</v>
      </c>
      <c r="G210" s="13" t="s">
        <v>41</v>
      </c>
      <c r="H210" s="13" t="s">
        <v>53</v>
      </c>
      <c r="I210" s="13" t="s">
        <v>42</v>
      </c>
      <c r="J210" s="13" t="s">
        <v>131</v>
      </c>
      <c r="K210" s="13" t="s">
        <v>292</v>
      </c>
      <c r="L210" s="13" t="s">
        <v>60</v>
      </c>
      <c r="M210" s="13"/>
      <c r="N210" s="13"/>
      <c r="O210" s="13"/>
      <c r="P210" s="16"/>
      <c r="Q210" s="17"/>
      <c r="R210" s="13" t="s">
        <v>88</v>
      </c>
      <c r="S210" s="14" t="n">
        <v>46237.4666666667</v>
      </c>
      <c r="T210" s="13" t="str">
        <f aca="false">TEXT(D210,"mmm yyyy")</f>
        <v>Aug 2026</v>
      </c>
      <c r="U210" s="13" t="str">
        <f aca="false">TEXT(D210,"ddd")</f>
        <v>Sat</v>
      </c>
      <c r="V210" s="13" t="n">
        <f aca="false">INT(D210)-INT(C210)</f>
        <v>5</v>
      </c>
      <c r="W210" s="13" t="str">
        <f aca="false">IF(M210="","No","Yes")</f>
        <v>No</v>
      </c>
      <c r="X210" s="13" t="str">
        <f aca="false">IF(AND(W210="Yes",S210&lt;&gt;""),ROUND((S210-C210)*24,1),"")</f>
        <v/>
      </c>
      <c r="Y210" s="13" t="str">
        <f aca="false">IF(X210="","N/A",IF(X210&lt;=12,"Yes","No"))</f>
        <v>N/A</v>
      </c>
      <c r="Z210" s="18" t="n">
        <f aca="true">IF(B210="Pending",TODAY()-INT(C210),"")</f>
        <v>37</v>
      </c>
    </row>
    <row r="211" customFormat="false" ht="15" hidden="false" customHeight="false" outlineLevel="0" collapsed="false">
      <c r="A211" s="13" t="s">
        <v>293</v>
      </c>
      <c r="B211" s="13" t="s">
        <v>69</v>
      </c>
      <c r="C211" s="14" t="n">
        <v>46238.7013888889</v>
      </c>
      <c r="D211" s="14" t="n">
        <v>46242.7291666667</v>
      </c>
      <c r="E211" s="15"/>
      <c r="F211" s="13" t="s">
        <v>52</v>
      </c>
      <c r="G211" s="13" t="s">
        <v>66</v>
      </c>
      <c r="H211" s="13" t="s">
        <v>42</v>
      </c>
      <c r="I211" s="13" t="s">
        <v>67</v>
      </c>
      <c r="J211" s="13" t="s">
        <v>59</v>
      </c>
      <c r="K211" s="13" t="s">
        <v>45</v>
      </c>
      <c r="L211" s="13" t="s">
        <v>60</v>
      </c>
      <c r="M211" s="13"/>
      <c r="N211" s="13"/>
      <c r="O211" s="13"/>
      <c r="P211" s="16"/>
      <c r="Q211" s="17"/>
      <c r="R211" s="13" t="s">
        <v>50</v>
      </c>
      <c r="S211" s="14" t="n">
        <v>46238.8319444444</v>
      </c>
      <c r="T211" s="13" t="str">
        <f aca="false">TEXT(D211,"mmm yyyy")</f>
        <v>Aug 2026</v>
      </c>
      <c r="U211" s="13" t="str">
        <f aca="false">TEXT(D211,"ddd")</f>
        <v>Sat</v>
      </c>
      <c r="V211" s="13" t="n">
        <f aca="false">INT(D211)-INT(C211)</f>
        <v>4</v>
      </c>
      <c r="W211" s="13" t="str">
        <f aca="false">IF(M211="","No","Yes")</f>
        <v>No</v>
      </c>
      <c r="X211" s="13" t="str">
        <f aca="false">IF(AND(W211="Yes",S211&lt;&gt;""),ROUND((S211-C211)*24,1),"")</f>
        <v/>
      </c>
      <c r="Y211" s="13" t="str">
        <f aca="false">IF(X211="","N/A",IF(X211&lt;=12,"Yes","No"))</f>
        <v>N/A</v>
      </c>
      <c r="Z211" s="13" t="str">
        <f aca="true">IF(B211="Pending",TODAY()-INT(C211),"")</f>
        <v/>
      </c>
    </row>
    <row r="212" customFormat="false" ht="15" hidden="false" customHeight="false" outlineLevel="0" collapsed="false">
      <c r="A212" s="13" t="s">
        <v>294</v>
      </c>
      <c r="B212" s="13" t="s">
        <v>83</v>
      </c>
      <c r="C212" s="14" t="n">
        <v>46239.5944444445</v>
      </c>
      <c r="D212" s="14" t="n">
        <v>46243.2916666667</v>
      </c>
      <c r="E212" s="15" t="n">
        <v>0.708333333333333</v>
      </c>
      <c r="F212" s="13" t="s">
        <v>96</v>
      </c>
      <c r="G212" s="13" t="s">
        <v>66</v>
      </c>
      <c r="H212" s="13" t="s">
        <v>53</v>
      </c>
      <c r="I212" s="13" t="s">
        <v>43</v>
      </c>
      <c r="J212" s="13" t="s">
        <v>44</v>
      </c>
      <c r="K212" s="13" t="s">
        <v>45</v>
      </c>
      <c r="L212" s="13" t="s">
        <v>46</v>
      </c>
      <c r="M212" s="13"/>
      <c r="N212" s="13"/>
      <c r="O212" s="13"/>
      <c r="P212" s="16"/>
      <c r="Q212" s="17"/>
      <c r="R212" s="13"/>
      <c r="S212" s="14"/>
      <c r="T212" s="13" t="str">
        <f aca="false">TEXT(D212,"mmm yyyy")</f>
        <v>Aug 2026</v>
      </c>
      <c r="U212" s="13" t="str">
        <f aca="false">TEXT(D212,"ddd")</f>
        <v>Sun</v>
      </c>
      <c r="V212" s="13" t="n">
        <f aca="false">INT(D212)-INT(C212)</f>
        <v>4</v>
      </c>
      <c r="W212" s="13" t="str">
        <f aca="false">IF(M212="","No","Yes")</f>
        <v>No</v>
      </c>
      <c r="X212" s="13" t="str">
        <f aca="false">IF(AND(W212="Yes",S212&lt;&gt;""),ROUND((S212-C212)*24,1),"")</f>
        <v/>
      </c>
      <c r="Y212" s="13" t="str">
        <f aca="false">IF(X212="","N/A",IF(X212&lt;=12,"Yes","No"))</f>
        <v>N/A</v>
      </c>
      <c r="Z212" s="18" t="n">
        <f aca="true">IF(B212="Pending",TODAY()-INT(C212),"")</f>
        <v>35</v>
      </c>
    </row>
    <row r="213" customFormat="false" ht="15" hidden="false" customHeight="false" outlineLevel="0" collapsed="false">
      <c r="A213" s="13" t="s">
        <v>295</v>
      </c>
      <c r="B213" s="13" t="s">
        <v>39</v>
      </c>
      <c r="C213" s="14" t="n">
        <v>46225.6354166667</v>
      </c>
      <c r="D213" s="14" t="n">
        <v>46243.4166666667</v>
      </c>
      <c r="E213" s="15" t="n">
        <v>0.541666666666667</v>
      </c>
      <c r="F213" s="13" t="s">
        <v>73</v>
      </c>
      <c r="G213" s="13" t="s">
        <v>66</v>
      </c>
      <c r="H213" s="13" t="s">
        <v>281</v>
      </c>
      <c r="I213" s="13" t="s">
        <v>43</v>
      </c>
      <c r="J213" s="13" t="s">
        <v>44</v>
      </c>
      <c r="K213" s="13" t="s">
        <v>296</v>
      </c>
      <c r="L213" s="13" t="s">
        <v>46</v>
      </c>
      <c r="M213" s="13" t="s">
        <v>54</v>
      </c>
      <c r="N213" s="13" t="s">
        <v>62</v>
      </c>
      <c r="O213" s="13" t="s">
        <v>63</v>
      </c>
      <c r="P213" s="16"/>
      <c r="Q213" s="17"/>
      <c r="R213" s="13" t="s">
        <v>50</v>
      </c>
      <c r="S213" s="14" t="n">
        <v>46238.7222222222</v>
      </c>
      <c r="T213" s="13" t="str">
        <f aca="false">TEXT(D213,"mmm yyyy")</f>
        <v>Aug 2026</v>
      </c>
      <c r="U213" s="13" t="str">
        <f aca="false">TEXT(D213,"ddd")</f>
        <v>Sun</v>
      </c>
      <c r="V213" s="13" t="n">
        <f aca="false">INT(D213)-INT(C213)</f>
        <v>18</v>
      </c>
      <c r="W213" s="13" t="str">
        <f aca="false">IF(M213="","No","Yes")</f>
        <v>Yes</v>
      </c>
      <c r="X213" s="13" t="n">
        <f aca="false">IF(AND(W213="Yes",S213&lt;&gt;""),ROUND((S213-C213)*24,1),"")</f>
        <v>314.1</v>
      </c>
      <c r="Y213" s="13" t="str">
        <f aca="false">IF(X213="","N/A",IF(X213&lt;=12,"Yes","No"))</f>
        <v>No</v>
      </c>
      <c r="Z213" s="13" t="str">
        <f aca="true">IF(B213="Pending",TODAY()-INT(C213),"")</f>
        <v/>
      </c>
    </row>
    <row r="214" customFormat="false" ht="15" hidden="false" customHeight="false" outlineLevel="0" collapsed="false">
      <c r="A214" s="13" t="s">
        <v>297</v>
      </c>
      <c r="B214" s="13" t="s">
        <v>39</v>
      </c>
      <c r="C214" s="14" t="n">
        <v>46240.3784722222</v>
      </c>
      <c r="D214" s="14" t="n">
        <v>46244.3333333333</v>
      </c>
      <c r="E214" s="15"/>
      <c r="F214" s="13" t="s">
        <v>40</v>
      </c>
      <c r="G214" s="13" t="s">
        <v>66</v>
      </c>
      <c r="H214" s="13" t="s">
        <v>42</v>
      </c>
      <c r="I214" s="13" t="s">
        <v>53</v>
      </c>
      <c r="J214" s="13" t="s">
        <v>44</v>
      </c>
      <c r="K214" s="13" t="s">
        <v>45</v>
      </c>
      <c r="L214" s="13" t="s">
        <v>60</v>
      </c>
      <c r="M214" s="13" t="s">
        <v>61</v>
      </c>
      <c r="N214" s="13" t="s">
        <v>55</v>
      </c>
      <c r="O214" s="13" t="s">
        <v>56</v>
      </c>
      <c r="P214" s="16"/>
      <c r="Q214" s="17"/>
      <c r="R214" s="13" t="s">
        <v>50</v>
      </c>
      <c r="S214" s="14" t="n">
        <v>46240.7583333333</v>
      </c>
      <c r="T214" s="13" t="str">
        <f aca="false">TEXT(D214,"mmm yyyy")</f>
        <v>Aug 2026</v>
      </c>
      <c r="U214" s="13" t="str">
        <f aca="false">TEXT(D214,"ddd")</f>
        <v>Mon</v>
      </c>
      <c r="V214" s="13" t="n">
        <f aca="false">INT(D214)-INT(C214)</f>
        <v>4</v>
      </c>
      <c r="W214" s="13" t="str">
        <f aca="false">IF(M214="","No","Yes")</f>
        <v>Yes</v>
      </c>
      <c r="X214" s="13" t="n">
        <f aca="false">IF(AND(W214="Yes",S214&lt;&gt;""),ROUND((S214-C214)*24,1),"")</f>
        <v>9.1</v>
      </c>
      <c r="Y214" s="13" t="str">
        <f aca="false">IF(X214="","N/A",IF(X214&lt;=12,"Yes","No"))</f>
        <v>Yes</v>
      </c>
      <c r="Z214" s="13" t="str">
        <f aca="true">IF(B214="Pending",TODAY()-INT(C214),"")</f>
        <v/>
      </c>
    </row>
    <row r="215" customFormat="false" ht="15" hidden="false" customHeight="false" outlineLevel="0" collapsed="false">
      <c r="A215" s="13" t="s">
        <v>298</v>
      </c>
      <c r="B215" s="13" t="s">
        <v>83</v>
      </c>
      <c r="C215" s="14" t="n">
        <v>46231.3715277778</v>
      </c>
      <c r="D215" s="14" t="n">
        <v>46246.3020833333</v>
      </c>
      <c r="E215" s="15"/>
      <c r="F215" s="13" t="s">
        <v>96</v>
      </c>
      <c r="G215" s="13" t="s">
        <v>66</v>
      </c>
      <c r="H215" s="13" t="s">
        <v>281</v>
      </c>
      <c r="I215" s="13" t="s">
        <v>282</v>
      </c>
      <c r="J215" s="13" t="s">
        <v>131</v>
      </c>
      <c r="K215" s="13" t="s">
        <v>299</v>
      </c>
      <c r="L215" s="13" t="s">
        <v>60</v>
      </c>
      <c r="M215" s="13"/>
      <c r="N215" s="13"/>
      <c r="O215" s="13"/>
      <c r="P215" s="16"/>
      <c r="Q215" s="17"/>
      <c r="R215" s="13"/>
      <c r="S215" s="14"/>
      <c r="T215" s="13" t="str">
        <f aca="false">TEXT(D215,"mmm yyyy")</f>
        <v>Aug 2026</v>
      </c>
      <c r="U215" s="13" t="str">
        <f aca="false">TEXT(D215,"ddd")</f>
        <v>Wed</v>
      </c>
      <c r="V215" s="13" t="n">
        <f aca="false">INT(D215)-INT(C215)</f>
        <v>15</v>
      </c>
      <c r="W215" s="13" t="str">
        <f aca="false">IF(M215="","No","Yes")</f>
        <v>No</v>
      </c>
      <c r="X215" s="13" t="str">
        <f aca="false">IF(AND(W215="Yes",S215&lt;&gt;""),ROUND((S215-C215)*24,1),"")</f>
        <v/>
      </c>
      <c r="Y215" s="13" t="str">
        <f aca="false">IF(X215="","N/A",IF(X215&lt;=12,"Yes","No"))</f>
        <v>N/A</v>
      </c>
      <c r="Z215" s="18" t="n">
        <f aca="true">IF(B215="Pending",TODAY()-INT(C215),"")</f>
        <v>43</v>
      </c>
    </row>
    <row r="216" customFormat="false" ht="15" hidden="false" customHeight="false" outlineLevel="0" collapsed="false">
      <c r="A216" s="13" t="s">
        <v>300</v>
      </c>
      <c r="B216" s="13" t="s">
        <v>65</v>
      </c>
      <c r="C216" s="14" t="n">
        <v>46244.7465277778</v>
      </c>
      <c r="D216" s="14" t="n">
        <v>46248.2916666667</v>
      </c>
      <c r="E216" s="15"/>
      <c r="F216" s="13" t="s">
        <v>88</v>
      </c>
      <c r="G216" s="13" t="s">
        <v>66</v>
      </c>
      <c r="H216" s="13" t="s">
        <v>42</v>
      </c>
      <c r="I216" s="13" t="s">
        <v>53</v>
      </c>
      <c r="J216" s="13" t="s">
        <v>71</v>
      </c>
      <c r="K216" s="13" t="s">
        <v>45</v>
      </c>
      <c r="L216" s="13" t="s">
        <v>60</v>
      </c>
      <c r="M216" s="13"/>
      <c r="N216" s="13"/>
      <c r="O216" s="13"/>
      <c r="P216" s="16"/>
      <c r="Q216" s="17"/>
      <c r="R216" s="13" t="s">
        <v>50</v>
      </c>
      <c r="S216" s="14" t="n">
        <v>46246.1243055556</v>
      </c>
      <c r="T216" s="13" t="str">
        <f aca="false">TEXT(D216,"mmm yyyy")</f>
        <v>Aug 2026</v>
      </c>
      <c r="U216" s="13" t="str">
        <f aca="false">TEXT(D216,"ddd")</f>
        <v>Fri</v>
      </c>
      <c r="V216" s="13" t="n">
        <f aca="false">INT(D216)-INT(C216)</f>
        <v>4</v>
      </c>
      <c r="W216" s="13" t="str">
        <f aca="false">IF(M216="","No","Yes")</f>
        <v>No</v>
      </c>
      <c r="X216" s="13" t="str">
        <f aca="false">IF(AND(W216="Yes",S216&lt;&gt;""),ROUND((S216-C216)*24,1),"")</f>
        <v/>
      </c>
      <c r="Y216" s="13" t="str">
        <f aca="false">IF(X216="","N/A",IF(X216&lt;=12,"Yes","No"))</f>
        <v>N/A</v>
      </c>
      <c r="Z216" s="13" t="str">
        <f aca="true">IF(B216="Pending",TODAY()-INT(C216),"")</f>
        <v/>
      </c>
    </row>
    <row r="217" customFormat="false" ht="15" hidden="false" customHeight="false" outlineLevel="0" collapsed="false">
      <c r="A217" s="13" t="s">
        <v>301</v>
      </c>
      <c r="B217" s="13" t="s">
        <v>69</v>
      </c>
      <c r="C217" s="14" t="n">
        <v>46245.4284722222</v>
      </c>
      <c r="D217" s="14" t="n">
        <v>46249.2916666667</v>
      </c>
      <c r="E217" s="15"/>
      <c r="F217" s="13" t="s">
        <v>73</v>
      </c>
      <c r="G217" s="13" t="s">
        <v>41</v>
      </c>
      <c r="H217" s="13" t="s">
        <v>53</v>
      </c>
      <c r="I217" s="13" t="s">
        <v>42</v>
      </c>
      <c r="J217" s="13" t="s">
        <v>44</v>
      </c>
      <c r="K217" s="13" t="s">
        <v>45</v>
      </c>
      <c r="L217" s="13" t="s">
        <v>60</v>
      </c>
      <c r="M217" s="13"/>
      <c r="N217" s="13"/>
      <c r="O217" s="13"/>
      <c r="P217" s="16"/>
      <c r="Q217" s="17"/>
      <c r="R217" s="13" t="s">
        <v>50</v>
      </c>
      <c r="S217" s="14" t="n">
        <v>46245.7576388889</v>
      </c>
      <c r="T217" s="13" t="str">
        <f aca="false">TEXT(D217,"mmm yyyy")</f>
        <v>Aug 2026</v>
      </c>
      <c r="U217" s="13" t="str">
        <f aca="false">TEXT(D217,"ddd")</f>
        <v>Sat</v>
      </c>
      <c r="V217" s="13" t="n">
        <f aca="false">INT(D217)-INT(C217)</f>
        <v>4</v>
      </c>
      <c r="W217" s="13" t="str">
        <f aca="false">IF(M217="","No","Yes")</f>
        <v>No</v>
      </c>
      <c r="X217" s="13" t="str">
        <f aca="false">IF(AND(W217="Yes",S217&lt;&gt;""),ROUND((S217-C217)*24,1),"")</f>
        <v/>
      </c>
      <c r="Y217" s="13" t="str">
        <f aca="false">IF(X217="","N/A",IF(X217&lt;=12,"Yes","No"))</f>
        <v>N/A</v>
      </c>
      <c r="Z217" s="13" t="str">
        <f aca="true">IF(B217="Pending",TODAY()-INT(C217),"")</f>
        <v/>
      </c>
    </row>
    <row r="218" customFormat="false" ht="15" hidden="false" customHeight="false" outlineLevel="0" collapsed="false">
      <c r="A218" s="13" t="s">
        <v>302</v>
      </c>
      <c r="B218" s="13" t="s">
        <v>83</v>
      </c>
      <c r="C218" s="14" t="n">
        <v>46245.6381944444</v>
      </c>
      <c r="D218" s="14" t="n">
        <v>46249.2916666667</v>
      </c>
      <c r="E218" s="15"/>
      <c r="F218" s="13" t="s">
        <v>40</v>
      </c>
      <c r="G218" s="13" t="s">
        <v>66</v>
      </c>
      <c r="H218" s="13" t="s">
        <v>42</v>
      </c>
      <c r="I218" s="13" t="s">
        <v>53</v>
      </c>
      <c r="J218" s="13" t="s">
        <v>44</v>
      </c>
      <c r="K218" s="13" t="s">
        <v>45</v>
      </c>
      <c r="L218" s="13" t="s">
        <v>60</v>
      </c>
      <c r="M218" s="13"/>
      <c r="N218" s="13"/>
      <c r="O218" s="13"/>
      <c r="P218" s="16"/>
      <c r="Q218" s="17"/>
      <c r="R218" s="13"/>
      <c r="S218" s="14"/>
      <c r="T218" s="13" t="str">
        <f aca="false">TEXT(D218,"mmm yyyy")</f>
        <v>Aug 2026</v>
      </c>
      <c r="U218" s="13" t="str">
        <f aca="false">TEXT(D218,"ddd")</f>
        <v>Sat</v>
      </c>
      <c r="V218" s="13" t="n">
        <f aca="false">INT(D218)-INT(C218)</f>
        <v>4</v>
      </c>
      <c r="W218" s="13" t="str">
        <f aca="false">IF(M218="","No","Yes")</f>
        <v>No</v>
      </c>
      <c r="X218" s="13" t="str">
        <f aca="false">IF(AND(W218="Yes",S218&lt;&gt;""),ROUND((S218-C218)*24,1),"")</f>
        <v/>
      </c>
      <c r="Y218" s="13" t="str">
        <f aca="false">IF(X218="","N/A",IF(X218&lt;=12,"Yes","No"))</f>
        <v>N/A</v>
      </c>
      <c r="Z218" s="18" t="n">
        <f aca="true">IF(B218="Pending",TODAY()-INT(C218),"")</f>
        <v>29</v>
      </c>
    </row>
    <row r="219" customFormat="false" ht="15" hidden="false" customHeight="false" outlineLevel="0" collapsed="false">
      <c r="A219" s="13" t="s">
        <v>303</v>
      </c>
      <c r="B219" s="13" t="s">
        <v>39</v>
      </c>
      <c r="C219" s="14" t="n">
        <v>46214.40625</v>
      </c>
      <c r="D219" s="14" t="n">
        <v>46249.5416666667</v>
      </c>
      <c r="E219" s="15" t="n">
        <v>0.625</v>
      </c>
      <c r="F219" s="13" t="s">
        <v>88</v>
      </c>
      <c r="G219" s="13" t="s">
        <v>66</v>
      </c>
      <c r="H219" s="13" t="s">
        <v>281</v>
      </c>
      <c r="I219" s="13" t="s">
        <v>43</v>
      </c>
      <c r="J219" s="13" t="s">
        <v>44</v>
      </c>
      <c r="K219" s="13" t="s">
        <v>304</v>
      </c>
      <c r="L219" s="13" t="s">
        <v>46</v>
      </c>
      <c r="M219" s="13" t="s">
        <v>90</v>
      </c>
      <c r="N219" s="13" t="s">
        <v>48</v>
      </c>
      <c r="O219" s="13" t="s">
        <v>49</v>
      </c>
      <c r="P219" s="16"/>
      <c r="Q219" s="17"/>
      <c r="R219" s="13" t="s">
        <v>288</v>
      </c>
      <c r="S219" s="14" t="n">
        <v>46238.7222222222</v>
      </c>
      <c r="T219" s="13" t="str">
        <f aca="false">TEXT(D219,"mmm yyyy")</f>
        <v>Aug 2026</v>
      </c>
      <c r="U219" s="13" t="str">
        <f aca="false">TEXT(D219,"ddd")</f>
        <v>Sat</v>
      </c>
      <c r="V219" s="13" t="n">
        <f aca="false">INT(D219)-INT(C219)</f>
        <v>35</v>
      </c>
      <c r="W219" s="13" t="str">
        <f aca="false">IF(M219="","No","Yes")</f>
        <v>Yes</v>
      </c>
      <c r="X219" s="13" t="n">
        <f aca="false">IF(AND(W219="Yes",S219&lt;&gt;""),ROUND((S219-C219)*24,1),"")</f>
        <v>583.6</v>
      </c>
      <c r="Y219" s="13" t="str">
        <f aca="false">IF(X219="","N/A",IF(X219&lt;=12,"Yes","No"))</f>
        <v>No</v>
      </c>
      <c r="Z219" s="13" t="str">
        <f aca="true">IF(B219="Pending",TODAY()-INT(C219),"")</f>
        <v/>
      </c>
    </row>
    <row r="220" customFormat="false" ht="15" hidden="false" customHeight="false" outlineLevel="0" collapsed="false">
      <c r="A220" s="13" t="s">
        <v>305</v>
      </c>
      <c r="B220" s="13" t="s">
        <v>83</v>
      </c>
      <c r="C220" s="14" t="n">
        <v>46246.6909722222</v>
      </c>
      <c r="D220" s="14" t="n">
        <v>46250.2708333333</v>
      </c>
      <c r="E220" s="15" t="n">
        <v>0.708333333333333</v>
      </c>
      <c r="F220" s="13" t="s">
        <v>73</v>
      </c>
      <c r="G220" s="13" t="s">
        <v>66</v>
      </c>
      <c r="H220" s="13" t="s">
        <v>53</v>
      </c>
      <c r="I220" s="13" t="s">
        <v>43</v>
      </c>
      <c r="J220" s="13" t="s">
        <v>44</v>
      </c>
      <c r="K220" s="13" t="s">
        <v>45</v>
      </c>
      <c r="L220" s="13" t="s">
        <v>46</v>
      </c>
      <c r="M220" s="13"/>
      <c r="N220" s="13"/>
      <c r="O220" s="13"/>
      <c r="P220" s="16"/>
      <c r="Q220" s="17"/>
      <c r="R220" s="13"/>
      <c r="S220" s="14"/>
      <c r="T220" s="13" t="str">
        <f aca="false">TEXT(D220,"mmm yyyy")</f>
        <v>Aug 2026</v>
      </c>
      <c r="U220" s="13" t="str">
        <f aca="false">TEXT(D220,"ddd")</f>
        <v>Sun</v>
      </c>
      <c r="V220" s="13" t="n">
        <f aca="false">INT(D220)-INT(C220)</f>
        <v>4</v>
      </c>
      <c r="W220" s="13" t="str">
        <f aca="false">IF(M220="","No","Yes")</f>
        <v>No</v>
      </c>
      <c r="X220" s="13" t="str">
        <f aca="false">IF(AND(W220="Yes",S220&lt;&gt;""),ROUND((S220-C220)*24,1),"")</f>
        <v/>
      </c>
      <c r="Y220" s="13" t="str">
        <f aca="false">IF(X220="","N/A",IF(X220&lt;=12,"Yes","No"))</f>
        <v>N/A</v>
      </c>
      <c r="Z220" s="18" t="n">
        <f aca="true">IF(B220="Pending",TODAY()-INT(C220),"")</f>
        <v>28</v>
      </c>
    </row>
    <row r="221" customFormat="false" ht="15" hidden="false" customHeight="false" outlineLevel="0" collapsed="false">
      <c r="A221" s="13" t="s">
        <v>306</v>
      </c>
      <c r="B221" s="13" t="s">
        <v>83</v>
      </c>
      <c r="C221" s="14" t="n">
        <v>46246.40625</v>
      </c>
      <c r="D221" s="14" t="n">
        <v>46250.7291666667</v>
      </c>
      <c r="E221" s="15"/>
      <c r="F221" s="13" t="s">
        <v>58</v>
      </c>
      <c r="G221" s="13" t="s">
        <v>66</v>
      </c>
      <c r="H221" s="13" t="s">
        <v>42</v>
      </c>
      <c r="I221" s="13" t="s">
        <v>53</v>
      </c>
      <c r="J221" s="13" t="s">
        <v>44</v>
      </c>
      <c r="K221" s="13" t="s">
        <v>45</v>
      </c>
      <c r="L221" s="13" t="s">
        <v>60</v>
      </c>
      <c r="M221" s="13"/>
      <c r="N221" s="13"/>
      <c r="O221" s="13"/>
      <c r="P221" s="16"/>
      <c r="Q221" s="17"/>
      <c r="R221" s="13"/>
      <c r="S221" s="14"/>
      <c r="T221" s="13" t="str">
        <f aca="false">TEXT(D221,"mmm yyyy")</f>
        <v>Aug 2026</v>
      </c>
      <c r="U221" s="13" t="str">
        <f aca="false">TEXT(D221,"ddd")</f>
        <v>Sun</v>
      </c>
      <c r="V221" s="13" t="n">
        <f aca="false">INT(D221)-INT(C221)</f>
        <v>4</v>
      </c>
      <c r="W221" s="13" t="str">
        <f aca="false">IF(M221="","No","Yes")</f>
        <v>No</v>
      </c>
      <c r="X221" s="13" t="str">
        <f aca="false">IF(AND(W221="Yes",S221&lt;&gt;""),ROUND((S221-C221)*24,1),"")</f>
        <v/>
      </c>
      <c r="Y221" s="13" t="str">
        <f aca="false">IF(X221="","N/A",IF(X221&lt;=12,"Yes","No"))</f>
        <v>N/A</v>
      </c>
      <c r="Z221" s="18" t="n">
        <f aca="true">IF(B221="Pending",TODAY()-INT(C221),"")</f>
        <v>28</v>
      </c>
    </row>
    <row r="222" customFormat="false" ht="15" hidden="false" customHeight="false" outlineLevel="0" collapsed="false">
      <c r="A222" s="13" t="s">
        <v>307</v>
      </c>
      <c r="B222" s="13" t="s">
        <v>39</v>
      </c>
      <c r="C222" s="14" t="n">
        <v>46250.4902777778</v>
      </c>
      <c r="D222" s="14" t="n">
        <v>46254.3958333333</v>
      </c>
      <c r="E222" s="15"/>
      <c r="F222" s="13" t="s">
        <v>52</v>
      </c>
      <c r="G222" s="13" t="s">
        <v>66</v>
      </c>
      <c r="H222" s="13" t="s">
        <v>53</v>
      </c>
      <c r="I222" s="13" t="s">
        <v>78</v>
      </c>
      <c r="J222" s="13" t="s">
        <v>44</v>
      </c>
      <c r="K222" s="13" t="s">
        <v>45</v>
      </c>
      <c r="L222" s="13" t="s">
        <v>60</v>
      </c>
      <c r="M222" s="13" t="s">
        <v>54</v>
      </c>
      <c r="N222" s="13" t="s">
        <v>48</v>
      </c>
      <c r="O222" s="13" t="s">
        <v>49</v>
      </c>
      <c r="P222" s="16"/>
      <c r="Q222" s="17"/>
      <c r="R222" s="13" t="s">
        <v>50</v>
      </c>
      <c r="S222" s="14" t="n">
        <v>46250.9222222222</v>
      </c>
      <c r="T222" s="13" t="str">
        <f aca="false">TEXT(D222,"mmm yyyy")</f>
        <v>Aug 2026</v>
      </c>
      <c r="U222" s="13" t="str">
        <f aca="false">TEXT(D222,"ddd")</f>
        <v>Thu</v>
      </c>
      <c r="V222" s="13" t="n">
        <f aca="false">INT(D222)-INT(C222)</f>
        <v>4</v>
      </c>
      <c r="W222" s="13" t="str">
        <f aca="false">IF(M222="","No","Yes")</f>
        <v>Yes</v>
      </c>
      <c r="X222" s="13" t="n">
        <f aca="false">IF(AND(W222="Yes",S222&lt;&gt;""),ROUND((S222-C222)*24,1),"")</f>
        <v>10.4</v>
      </c>
      <c r="Y222" s="13" t="str">
        <f aca="false">IF(X222="","N/A",IF(X222&lt;=12,"Yes","No"))</f>
        <v>Yes</v>
      </c>
      <c r="Z222" s="13" t="str">
        <f aca="true">IF(B222="Pending",TODAY()-INT(C222),"")</f>
        <v/>
      </c>
    </row>
    <row r="223" customFormat="false" ht="15" hidden="false" customHeight="false" outlineLevel="0" collapsed="false">
      <c r="A223" s="13" t="s">
        <v>308</v>
      </c>
      <c r="B223" s="13" t="s">
        <v>39</v>
      </c>
      <c r="C223" s="14" t="n">
        <v>46250.5090277778</v>
      </c>
      <c r="D223" s="14" t="n">
        <v>46254.7291666667</v>
      </c>
      <c r="E223" s="15"/>
      <c r="F223" s="13" t="s">
        <v>96</v>
      </c>
      <c r="G223" s="13" t="s">
        <v>66</v>
      </c>
      <c r="H223" s="13" t="s">
        <v>42</v>
      </c>
      <c r="I223" s="13" t="s">
        <v>53</v>
      </c>
      <c r="J223" s="13" t="s">
        <v>131</v>
      </c>
      <c r="K223" s="13" t="s">
        <v>45</v>
      </c>
      <c r="L223" s="13" t="s">
        <v>60</v>
      </c>
      <c r="M223" s="13" t="s">
        <v>47</v>
      </c>
      <c r="N223" s="13" t="s">
        <v>55</v>
      </c>
      <c r="O223" s="13" t="s">
        <v>56</v>
      </c>
      <c r="P223" s="16"/>
      <c r="Q223" s="17"/>
      <c r="R223" s="13" t="s">
        <v>50</v>
      </c>
      <c r="S223" s="14" t="n">
        <v>46250.95625</v>
      </c>
      <c r="T223" s="13" t="str">
        <f aca="false">TEXT(D223,"mmm yyyy")</f>
        <v>Aug 2026</v>
      </c>
      <c r="U223" s="13" t="str">
        <f aca="false">TEXT(D223,"ddd")</f>
        <v>Thu</v>
      </c>
      <c r="V223" s="13" t="n">
        <f aca="false">INT(D223)-INT(C223)</f>
        <v>4</v>
      </c>
      <c r="W223" s="13" t="str">
        <f aca="false">IF(M223="","No","Yes")</f>
        <v>Yes</v>
      </c>
      <c r="X223" s="13" t="n">
        <f aca="false">IF(AND(W223="Yes",S223&lt;&gt;""),ROUND((S223-C223)*24,1),"")</f>
        <v>10.7</v>
      </c>
      <c r="Y223" s="13" t="str">
        <f aca="false">IF(X223="","N/A",IF(X223&lt;=12,"Yes","No"))</f>
        <v>Yes</v>
      </c>
      <c r="Z223" s="13" t="str">
        <f aca="true">IF(B223="Pending",TODAY()-INT(C223),"")</f>
        <v/>
      </c>
    </row>
    <row r="224" customFormat="false" ht="15" hidden="false" customHeight="false" outlineLevel="0" collapsed="false">
      <c r="A224" s="13" t="s">
        <v>309</v>
      </c>
      <c r="B224" s="13" t="s">
        <v>83</v>
      </c>
      <c r="C224" s="14" t="n">
        <v>46252.4027777778</v>
      </c>
      <c r="D224" s="14" t="n">
        <v>46256.7291666667</v>
      </c>
      <c r="E224" s="15"/>
      <c r="F224" s="13" t="s">
        <v>40</v>
      </c>
      <c r="G224" s="13" t="s">
        <v>66</v>
      </c>
      <c r="H224" s="13" t="s">
        <v>42</v>
      </c>
      <c r="I224" s="13" t="s">
        <v>67</v>
      </c>
      <c r="J224" s="13" t="s">
        <v>131</v>
      </c>
      <c r="K224" s="13" t="s">
        <v>45</v>
      </c>
      <c r="L224" s="13" t="s">
        <v>60</v>
      </c>
      <c r="M224" s="13"/>
      <c r="N224" s="13"/>
      <c r="O224" s="13"/>
      <c r="P224" s="16"/>
      <c r="Q224" s="17"/>
      <c r="R224" s="13"/>
      <c r="S224" s="14"/>
      <c r="T224" s="13" t="str">
        <f aca="false">TEXT(D224,"mmm yyyy")</f>
        <v>Aug 2026</v>
      </c>
      <c r="U224" s="13" t="str">
        <f aca="false">TEXT(D224,"ddd")</f>
        <v>Sat</v>
      </c>
      <c r="V224" s="13" t="n">
        <f aca="false">INT(D224)-INT(C224)</f>
        <v>4</v>
      </c>
      <c r="W224" s="13" t="str">
        <f aca="false">IF(M224="","No","Yes")</f>
        <v>No</v>
      </c>
      <c r="X224" s="13" t="str">
        <f aca="false">IF(AND(W224="Yes",S224&lt;&gt;""),ROUND((S224-C224)*24,1),"")</f>
        <v/>
      </c>
      <c r="Y224" s="13" t="str">
        <f aca="false">IF(X224="","N/A",IF(X224&lt;=12,"Yes","No"))</f>
        <v>N/A</v>
      </c>
      <c r="Z224" s="18" t="n">
        <f aca="true">IF(B224="Pending",TODAY()-INT(C224),"")</f>
        <v>22</v>
      </c>
    </row>
    <row r="225" customFormat="false" ht="15" hidden="false" customHeight="false" outlineLevel="0" collapsed="false">
      <c r="A225" s="13" t="s">
        <v>310</v>
      </c>
      <c r="B225" s="13" t="s">
        <v>83</v>
      </c>
      <c r="C225" s="14" t="n">
        <v>46255.3854166667</v>
      </c>
      <c r="D225" s="14" t="n">
        <v>46259.2916666667</v>
      </c>
      <c r="E225" s="15" t="n">
        <v>0.708333333333333</v>
      </c>
      <c r="F225" s="13" t="s">
        <v>73</v>
      </c>
      <c r="G225" s="13" t="s">
        <v>66</v>
      </c>
      <c r="H225" s="13" t="s">
        <v>53</v>
      </c>
      <c r="I225" s="13" t="s">
        <v>43</v>
      </c>
      <c r="J225" s="13" t="s">
        <v>44</v>
      </c>
      <c r="K225" s="13" t="s">
        <v>45</v>
      </c>
      <c r="L225" s="13" t="s">
        <v>46</v>
      </c>
      <c r="M225" s="13"/>
      <c r="N225" s="13"/>
      <c r="O225" s="13"/>
      <c r="P225" s="16"/>
      <c r="Q225" s="17"/>
      <c r="R225" s="13"/>
      <c r="S225" s="14"/>
      <c r="T225" s="13" t="str">
        <f aca="false">TEXT(D225,"mmm yyyy")</f>
        <v>Aug 2026</v>
      </c>
      <c r="U225" s="13" t="str">
        <f aca="false">TEXT(D225,"ddd")</f>
        <v>Tue</v>
      </c>
      <c r="V225" s="13" t="n">
        <f aca="false">INT(D225)-INT(C225)</f>
        <v>4</v>
      </c>
      <c r="W225" s="13" t="str">
        <f aca="false">IF(M225="","No","Yes")</f>
        <v>No</v>
      </c>
      <c r="X225" s="13" t="str">
        <f aca="false">IF(AND(W225="Yes",S225&lt;&gt;""),ROUND((S225-C225)*24,1),"")</f>
        <v/>
      </c>
      <c r="Y225" s="13" t="str">
        <f aca="false">IF(X225="","N/A",IF(X225&lt;=12,"Yes","No"))</f>
        <v>N/A</v>
      </c>
      <c r="Z225" s="18" t="n">
        <f aca="true">IF(B225="Pending",TODAY()-INT(C225),"")</f>
        <v>19</v>
      </c>
    </row>
    <row r="226" customFormat="false" ht="15" hidden="false" customHeight="false" outlineLevel="0" collapsed="false">
      <c r="A226" s="13" t="s">
        <v>311</v>
      </c>
      <c r="B226" s="13" t="s">
        <v>39</v>
      </c>
      <c r="C226" s="14" t="n">
        <v>46255.5979166667</v>
      </c>
      <c r="D226" s="14" t="n">
        <v>46259.3958333333</v>
      </c>
      <c r="E226" s="15"/>
      <c r="F226" s="13" t="s">
        <v>40</v>
      </c>
      <c r="G226" s="13" t="s">
        <v>66</v>
      </c>
      <c r="H226" s="13" t="s">
        <v>53</v>
      </c>
      <c r="I226" s="13" t="s">
        <v>78</v>
      </c>
      <c r="J226" s="13" t="s">
        <v>59</v>
      </c>
      <c r="K226" s="13" t="s">
        <v>45</v>
      </c>
      <c r="L226" s="13" t="s">
        <v>60</v>
      </c>
      <c r="M226" s="13" t="s">
        <v>47</v>
      </c>
      <c r="N226" s="13" t="s">
        <v>62</v>
      </c>
      <c r="O226" s="13" t="s">
        <v>63</v>
      </c>
      <c r="P226" s="16"/>
      <c r="Q226" s="17"/>
      <c r="R226" s="13" t="s">
        <v>50</v>
      </c>
      <c r="S226" s="14" t="n">
        <v>46255.9388888889</v>
      </c>
      <c r="T226" s="13" t="str">
        <f aca="false">TEXT(D226,"mmm yyyy")</f>
        <v>Aug 2026</v>
      </c>
      <c r="U226" s="13" t="str">
        <f aca="false">TEXT(D226,"ddd")</f>
        <v>Tue</v>
      </c>
      <c r="V226" s="13" t="n">
        <f aca="false">INT(D226)-INT(C226)</f>
        <v>4</v>
      </c>
      <c r="W226" s="13" t="str">
        <f aca="false">IF(M226="","No","Yes")</f>
        <v>Yes</v>
      </c>
      <c r="X226" s="13" t="n">
        <f aca="false">IF(AND(W226="Yes",S226&lt;&gt;""),ROUND((S226-C226)*24,1),"")</f>
        <v>8.2</v>
      </c>
      <c r="Y226" s="13" t="str">
        <f aca="false">IF(X226="","N/A",IF(X226&lt;=12,"Yes","No"))</f>
        <v>Yes</v>
      </c>
      <c r="Z226" s="13" t="str">
        <f aca="true">IF(B226="Pending",TODAY()-INT(C226),"")</f>
        <v/>
      </c>
    </row>
    <row r="227" customFormat="false" ht="15" hidden="false" customHeight="false" outlineLevel="0" collapsed="false">
      <c r="A227" s="13" t="s">
        <v>312</v>
      </c>
      <c r="B227" s="13" t="s">
        <v>83</v>
      </c>
      <c r="C227" s="14" t="n">
        <v>46256.6930555556</v>
      </c>
      <c r="D227" s="14" t="n">
        <v>46260.2916666667</v>
      </c>
      <c r="E227" s="15"/>
      <c r="F227" s="13" t="s">
        <v>73</v>
      </c>
      <c r="G227" s="13" t="s">
        <v>66</v>
      </c>
      <c r="H227" s="13" t="s">
        <v>53</v>
      </c>
      <c r="I227" s="13" t="s">
        <v>78</v>
      </c>
      <c r="J227" s="13" t="s">
        <v>131</v>
      </c>
      <c r="K227" s="13" t="s">
        <v>45</v>
      </c>
      <c r="L227" s="13" t="s">
        <v>60</v>
      </c>
      <c r="M227" s="13"/>
      <c r="N227" s="13"/>
      <c r="O227" s="13"/>
      <c r="P227" s="16"/>
      <c r="Q227" s="17"/>
      <c r="R227" s="13"/>
      <c r="S227" s="14"/>
      <c r="T227" s="13" t="str">
        <f aca="false">TEXT(D227,"mmm yyyy")</f>
        <v>Aug 2026</v>
      </c>
      <c r="U227" s="13" t="str">
        <f aca="false">TEXT(D227,"ddd")</f>
        <v>Wed</v>
      </c>
      <c r="V227" s="13" t="n">
        <f aca="false">INT(D227)-INT(C227)</f>
        <v>4</v>
      </c>
      <c r="W227" s="13" t="str">
        <f aca="false">IF(M227="","No","Yes")</f>
        <v>No</v>
      </c>
      <c r="X227" s="13" t="str">
        <f aca="false">IF(AND(W227="Yes",S227&lt;&gt;""),ROUND((S227-C227)*24,1),"")</f>
        <v/>
      </c>
      <c r="Y227" s="13" t="str">
        <f aca="false">IF(X227="","N/A",IF(X227&lt;=12,"Yes","No"))</f>
        <v>N/A</v>
      </c>
      <c r="Z227" s="18" t="n">
        <f aca="true">IF(B227="Pending",TODAY()-INT(C227),"")</f>
        <v>18</v>
      </c>
    </row>
    <row r="228" customFormat="false" ht="15" hidden="false" customHeight="false" outlineLevel="0" collapsed="false">
      <c r="A228" s="13" t="s">
        <v>313</v>
      </c>
      <c r="B228" s="13" t="s">
        <v>39</v>
      </c>
      <c r="C228" s="14" t="n">
        <v>46256.53125</v>
      </c>
      <c r="D228" s="14" t="n">
        <v>46260.3333333333</v>
      </c>
      <c r="E228" s="15"/>
      <c r="F228" s="13" t="s">
        <v>58</v>
      </c>
      <c r="G228" s="13" t="s">
        <v>66</v>
      </c>
      <c r="H228" s="13" t="s">
        <v>42</v>
      </c>
      <c r="I228" s="13" t="s">
        <v>53</v>
      </c>
      <c r="J228" s="13" t="s">
        <v>59</v>
      </c>
      <c r="K228" s="13" t="s">
        <v>45</v>
      </c>
      <c r="L228" s="13" t="s">
        <v>60</v>
      </c>
      <c r="M228" s="13" t="s">
        <v>90</v>
      </c>
      <c r="N228" s="13" t="s">
        <v>79</v>
      </c>
      <c r="O228" s="13" t="s">
        <v>80</v>
      </c>
      <c r="P228" s="16"/>
      <c r="Q228" s="17"/>
      <c r="R228" s="13" t="s">
        <v>50</v>
      </c>
      <c r="S228" s="14" t="n">
        <v>46256.5576388889</v>
      </c>
      <c r="T228" s="13" t="str">
        <f aca="false">TEXT(D228,"mmm yyyy")</f>
        <v>Aug 2026</v>
      </c>
      <c r="U228" s="13" t="str">
        <f aca="false">TEXT(D228,"ddd")</f>
        <v>Wed</v>
      </c>
      <c r="V228" s="13" t="n">
        <f aca="false">INT(D228)-INT(C228)</f>
        <v>4</v>
      </c>
      <c r="W228" s="13" t="str">
        <f aca="false">IF(M228="","No","Yes")</f>
        <v>Yes</v>
      </c>
      <c r="X228" s="13" t="n">
        <f aca="false">IF(AND(W228="Yes",S228&lt;&gt;""),ROUND((S228-C228)*24,1),"")</f>
        <v>0.6</v>
      </c>
      <c r="Y228" s="13" t="str">
        <f aca="false">IF(X228="","N/A",IF(X228&lt;=12,"Yes","No"))</f>
        <v>Yes</v>
      </c>
      <c r="Z228" s="13" t="str">
        <f aca="true">IF(B228="Pending",TODAY()-INT(C228),"")</f>
        <v/>
      </c>
    </row>
    <row r="229" customFormat="false" ht="15" hidden="false" customHeight="false" outlineLevel="0" collapsed="false">
      <c r="A229" s="13" t="s">
        <v>314</v>
      </c>
      <c r="B229" s="13" t="s">
        <v>69</v>
      </c>
      <c r="C229" s="14" t="n">
        <v>46259.6472222222</v>
      </c>
      <c r="D229" s="14" t="n">
        <v>46262.3333333333</v>
      </c>
      <c r="E229" s="15"/>
      <c r="F229" s="13" t="s">
        <v>96</v>
      </c>
      <c r="G229" s="13" t="s">
        <v>41</v>
      </c>
      <c r="H229" s="13" t="s">
        <v>42</v>
      </c>
      <c r="I229" s="13" t="s">
        <v>53</v>
      </c>
      <c r="J229" s="13" t="s">
        <v>71</v>
      </c>
      <c r="K229" s="13" t="s">
        <v>45</v>
      </c>
      <c r="L229" s="13" t="s">
        <v>60</v>
      </c>
      <c r="M229" s="13"/>
      <c r="N229" s="13"/>
      <c r="O229" s="13"/>
      <c r="P229" s="16"/>
      <c r="Q229" s="17"/>
      <c r="R229" s="13" t="s">
        <v>50</v>
      </c>
      <c r="S229" s="14" t="n">
        <v>46259.9652777778</v>
      </c>
      <c r="T229" s="13" t="str">
        <f aca="false">TEXT(D229,"mmm yyyy")</f>
        <v>Aug 2026</v>
      </c>
      <c r="U229" s="13" t="str">
        <f aca="false">TEXT(D229,"ddd")</f>
        <v>Fri</v>
      </c>
      <c r="V229" s="13" t="n">
        <f aca="false">INT(D229)-INT(C229)</f>
        <v>3</v>
      </c>
      <c r="W229" s="13" t="str">
        <f aca="false">IF(M229="","No","Yes")</f>
        <v>No</v>
      </c>
      <c r="X229" s="13" t="str">
        <f aca="false">IF(AND(W229="Yes",S229&lt;&gt;""),ROUND((S229-C229)*24,1),"")</f>
        <v/>
      </c>
      <c r="Y229" s="13" t="str">
        <f aca="false">IF(X229="","N/A",IF(X229&lt;=12,"Yes","No"))</f>
        <v>N/A</v>
      </c>
      <c r="Z229" s="13" t="str">
        <f aca="true">IF(B229="Pending",TODAY()-INT(C229),"")</f>
        <v/>
      </c>
    </row>
    <row r="230" customFormat="false" ht="15" hidden="false" customHeight="false" outlineLevel="0" collapsed="false">
      <c r="A230" s="13" t="s">
        <v>315</v>
      </c>
      <c r="B230" s="13" t="s">
        <v>69</v>
      </c>
      <c r="C230" s="14" t="n">
        <v>46259.5583333333</v>
      </c>
      <c r="D230" s="14" t="n">
        <v>46262.7291666667</v>
      </c>
      <c r="E230" s="15"/>
      <c r="F230" s="13" t="s">
        <v>52</v>
      </c>
      <c r="G230" s="13" t="s">
        <v>66</v>
      </c>
      <c r="H230" s="13" t="s">
        <v>53</v>
      </c>
      <c r="I230" s="13" t="s">
        <v>42</v>
      </c>
      <c r="J230" s="13" t="s">
        <v>44</v>
      </c>
      <c r="K230" s="13" t="s">
        <v>45</v>
      </c>
      <c r="L230" s="13" t="s">
        <v>60</v>
      </c>
      <c r="M230" s="13"/>
      <c r="N230" s="13"/>
      <c r="O230" s="13"/>
      <c r="P230" s="16"/>
      <c r="Q230" s="17"/>
      <c r="R230" s="13" t="s">
        <v>50</v>
      </c>
      <c r="S230" s="14" t="n">
        <v>46259.6166666667</v>
      </c>
      <c r="T230" s="13" t="str">
        <f aca="false">TEXT(D230,"mmm yyyy")</f>
        <v>Aug 2026</v>
      </c>
      <c r="U230" s="13" t="str">
        <f aca="false">TEXT(D230,"ddd")</f>
        <v>Fri</v>
      </c>
      <c r="V230" s="13" t="n">
        <f aca="false">INT(D230)-INT(C230)</f>
        <v>3</v>
      </c>
      <c r="W230" s="13" t="str">
        <f aca="false">IF(M230="","No","Yes")</f>
        <v>No</v>
      </c>
      <c r="X230" s="13" t="str">
        <f aca="false">IF(AND(W230="Yes",S230&lt;&gt;""),ROUND((S230-C230)*24,1),"")</f>
        <v/>
      </c>
      <c r="Y230" s="13" t="str">
        <f aca="false">IF(X230="","N/A",IF(X230&lt;=12,"Yes","No"))</f>
        <v>N/A</v>
      </c>
      <c r="Z230" s="13" t="str">
        <f aca="true">IF(B230="Pending",TODAY()-INT(C230),"")</f>
        <v/>
      </c>
    </row>
    <row r="231" customFormat="false" ht="15" hidden="false" customHeight="false" outlineLevel="0" collapsed="false">
      <c r="A231" s="13" t="s">
        <v>316</v>
      </c>
      <c r="B231" s="13" t="s">
        <v>83</v>
      </c>
      <c r="C231" s="14" t="n">
        <v>46259.6847222222</v>
      </c>
      <c r="D231" s="14" t="n">
        <v>46262.7291666667</v>
      </c>
      <c r="E231" s="15"/>
      <c r="F231" s="13" t="s">
        <v>52</v>
      </c>
      <c r="G231" s="13" t="s">
        <v>41</v>
      </c>
      <c r="H231" s="13" t="s">
        <v>42</v>
      </c>
      <c r="I231" s="13" t="s">
        <v>53</v>
      </c>
      <c r="J231" s="13" t="s">
        <v>59</v>
      </c>
      <c r="K231" s="13" t="s">
        <v>45</v>
      </c>
      <c r="L231" s="13" t="s">
        <v>60</v>
      </c>
      <c r="M231" s="13"/>
      <c r="N231" s="13"/>
      <c r="O231" s="13"/>
      <c r="P231" s="16"/>
      <c r="Q231" s="17"/>
      <c r="R231" s="13"/>
      <c r="S231" s="14"/>
      <c r="T231" s="13" t="str">
        <f aca="false">TEXT(D231,"mmm yyyy")</f>
        <v>Aug 2026</v>
      </c>
      <c r="U231" s="13" t="str">
        <f aca="false">TEXT(D231,"ddd")</f>
        <v>Fri</v>
      </c>
      <c r="V231" s="13" t="n">
        <f aca="false">INT(D231)-INT(C231)</f>
        <v>3</v>
      </c>
      <c r="W231" s="13" t="str">
        <f aca="false">IF(M231="","No","Yes")</f>
        <v>No</v>
      </c>
      <c r="X231" s="13" t="str">
        <f aca="false">IF(AND(W231="Yes",S231&lt;&gt;""),ROUND((S231-C231)*24,1),"")</f>
        <v/>
      </c>
      <c r="Y231" s="13" t="str">
        <f aca="false">IF(X231="","N/A",IF(X231&lt;=12,"Yes","No"))</f>
        <v>N/A</v>
      </c>
      <c r="Z231" s="18" t="n">
        <f aca="true">IF(B231="Pending",TODAY()-INT(C231),"")</f>
        <v>15</v>
      </c>
    </row>
  </sheetData>
  <conditionalFormatting sqref="B2:B231">
    <cfRule type="cellIs" priority="2" operator="equal" aboveAverage="0" equalAverage="0" bottom="0" percent="0" rank="0" text="" dxfId="8">
      <formula>"Approved"</formula>
    </cfRule>
    <cfRule type="cellIs" priority="3" operator="equal" aboveAverage="0" equalAverage="0" bottom="0" percent="0" rank="0" text="" dxfId="9">
      <formula>"Pending"</formula>
    </cfRule>
    <cfRule type="cellIs" priority="4" operator="equal" aboveAverage="0" equalAverage="0" bottom="0" percent="0" rank="0" text="" dxfId="10">
      <formula>"Rejected"</formula>
    </cfRule>
    <cfRule type="cellIs" priority="5" operator="equal" aboveAverage="0" equalAverage="0" bottom="0" percent="0" rank="0" text="" dxfId="11">
      <formula>"Cancelled"</formula>
    </cfRule>
  </conditionalFormatting>
  <conditionalFormatting sqref="Y2:Y231">
    <cfRule type="cellIs" priority="6" operator="equal" aboveAverage="0" equalAverage="0" bottom="0" percent="0" rank="0" text="" dxfId="10">
      <formula>"No"</formula>
    </cfRule>
    <cfRule type="cellIs" priority="7" operator="equal" aboveAverage="0" equalAverage="0" bottom="0" percent="0" rank="0" text="" dxfId="8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19" t="s">
        <v>317</v>
      </c>
      <c r="B1" s="19"/>
      <c r="C1" s="19"/>
      <c r="D1" s="20"/>
      <c r="E1" s="20"/>
      <c r="F1" s="20"/>
      <c r="G1" s="20"/>
      <c r="H1" s="20"/>
    </row>
    <row r="2" customFormat="false" ht="15" hidden="false" customHeight="false" outlineLevel="0" collapsed="false">
      <c r="A2" s="21" t="s">
        <v>13</v>
      </c>
      <c r="B2" s="21" t="s">
        <v>318</v>
      </c>
      <c r="C2" s="21" t="s">
        <v>319</v>
      </c>
      <c r="D2" s="20"/>
      <c r="E2" s="20"/>
      <c r="F2" s="20"/>
      <c r="G2" s="20"/>
      <c r="H2" s="20"/>
    </row>
    <row r="3" customFormat="false" ht="15" hidden="false" customHeight="false" outlineLevel="0" collapsed="false">
      <c r="A3" s="13" t="s">
        <v>39</v>
      </c>
      <c r="B3" s="13" t="n">
        <f aca="false">COUNTIF(Data!$B$2:$B$231,A3)</f>
        <v>125</v>
      </c>
      <c r="C3" s="22" t="n">
        <f aca="false">B3/SUM($B$3:$B$6)</f>
        <v>0.543478260869565</v>
      </c>
      <c r="D3" s="20"/>
      <c r="E3" s="20"/>
      <c r="F3" s="20"/>
      <c r="G3" s="20"/>
      <c r="H3" s="20"/>
    </row>
    <row r="4" customFormat="false" ht="15" hidden="false" customHeight="false" outlineLevel="0" collapsed="false">
      <c r="A4" s="13" t="s">
        <v>83</v>
      </c>
      <c r="B4" s="13" t="n">
        <f aca="false">COUNTIF(Data!$B$2:$B$231,A4)</f>
        <v>34</v>
      </c>
      <c r="C4" s="22" t="n">
        <f aca="false">B4/SUM($B$3:$B$6)</f>
        <v>0.147826086956522</v>
      </c>
      <c r="D4" s="20"/>
      <c r="E4" s="20"/>
      <c r="F4" s="20"/>
      <c r="G4" s="20"/>
      <c r="H4" s="20"/>
    </row>
    <row r="5" customFormat="false" ht="15" hidden="false" customHeight="false" outlineLevel="0" collapsed="false">
      <c r="A5" s="13" t="s">
        <v>69</v>
      </c>
      <c r="B5" s="13" t="n">
        <f aca="false">COUNTIF(Data!$B$2:$B$231,A5)</f>
        <v>31</v>
      </c>
      <c r="C5" s="22" t="n">
        <f aca="false">B5/SUM($B$3:$B$6)</f>
        <v>0.134782608695652</v>
      </c>
      <c r="D5" s="20"/>
      <c r="E5" s="20"/>
      <c r="F5" s="20"/>
      <c r="G5" s="20"/>
      <c r="H5" s="20"/>
    </row>
    <row r="6" customFormat="false" ht="15" hidden="false" customHeight="false" outlineLevel="0" collapsed="false">
      <c r="A6" s="13" t="s">
        <v>65</v>
      </c>
      <c r="B6" s="13" t="n">
        <f aca="false">COUNTIF(Data!$B$2:$B$231,A6)</f>
        <v>40</v>
      </c>
      <c r="C6" s="22" t="n">
        <f aca="false">B6/SUM($B$3:$B$6)</f>
        <v>0.173913043478261</v>
      </c>
      <c r="D6" s="20"/>
      <c r="E6" s="20"/>
      <c r="F6" s="20"/>
      <c r="G6" s="20"/>
      <c r="H6" s="20"/>
    </row>
    <row r="7" customFormat="false" ht="15" hidden="false" customHeight="false" outlineLevel="0" collapsed="false">
      <c r="A7" s="23" t="s">
        <v>320</v>
      </c>
      <c r="B7" s="23" t="n">
        <f aca="false">SUM(B3:B6)</f>
        <v>230</v>
      </c>
      <c r="C7" s="20"/>
      <c r="D7" s="20"/>
      <c r="E7" s="20"/>
      <c r="F7" s="20"/>
      <c r="G7" s="20"/>
      <c r="H7" s="20"/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0"/>
    </row>
    <row r="9" customFormat="false" ht="15" hidden="false" customHeight="false" outlineLevel="0" collapsed="false">
      <c r="A9" s="19" t="s">
        <v>321</v>
      </c>
      <c r="B9" s="19"/>
      <c r="C9" s="19"/>
      <c r="D9" s="19"/>
      <c r="E9" s="19"/>
      <c r="F9" s="19"/>
      <c r="G9" s="20"/>
      <c r="H9" s="20"/>
    </row>
    <row r="10" customFormat="false" ht="15" hidden="false" customHeight="false" outlineLevel="0" collapsed="false">
      <c r="A10" s="21" t="s">
        <v>31</v>
      </c>
      <c r="B10" s="21" t="s">
        <v>320</v>
      </c>
      <c r="C10" s="21" t="s">
        <v>39</v>
      </c>
      <c r="D10" s="21" t="s">
        <v>83</v>
      </c>
      <c r="E10" s="21" t="s">
        <v>69</v>
      </c>
      <c r="F10" s="21" t="s">
        <v>65</v>
      </c>
      <c r="G10" s="20"/>
      <c r="H10" s="20"/>
    </row>
    <row r="11" customFormat="false" ht="15" hidden="false" customHeight="false" outlineLevel="0" collapsed="false">
      <c r="A11" s="13" t="s">
        <v>322</v>
      </c>
      <c r="B11" s="13" t="n">
        <f aca="false">COUNTIF(Data!$T$2:$T$231,A11)</f>
        <v>22</v>
      </c>
      <c r="C11" s="13" t="n">
        <f aca="false">COUNTIFS(Data!$T$2:$T$231,A11,Data!$B$2:$B$231,"Approved")</f>
        <v>15</v>
      </c>
      <c r="D11" s="13" t="n">
        <f aca="false">COUNTIFS(Data!$T$2:$T$231,A11,Data!$B$2:$B$231,"Pending")</f>
        <v>2</v>
      </c>
      <c r="E11" s="13" t="n">
        <f aca="false">COUNTIFS(Data!$T$2:$T$231,A11,Data!$B$2:$B$231,"Rejected")</f>
        <v>1</v>
      </c>
      <c r="F11" s="13" t="n">
        <f aca="false">COUNTIFS(Data!$T$2:$T$231,A11,Data!$B$2:$B$231,"Cancelled")</f>
        <v>4</v>
      </c>
      <c r="G11" s="20"/>
      <c r="H11" s="20"/>
    </row>
    <row r="12" customFormat="false" ht="15" hidden="false" customHeight="false" outlineLevel="0" collapsed="false">
      <c r="A12" s="13" t="s">
        <v>323</v>
      </c>
      <c r="B12" s="13" t="n">
        <f aca="false">COUNTIF(Data!$T$2:$T$231,A12)</f>
        <v>19</v>
      </c>
      <c r="C12" s="13" t="n">
        <f aca="false">COUNTIFS(Data!$T$2:$T$231,A12,Data!$B$2:$B$231,"Approved")</f>
        <v>13</v>
      </c>
      <c r="D12" s="13" t="n">
        <f aca="false">COUNTIFS(Data!$T$2:$T$231,A12,Data!$B$2:$B$231,"Pending")</f>
        <v>1</v>
      </c>
      <c r="E12" s="13" t="n">
        <f aca="false">COUNTIFS(Data!$T$2:$T$231,A12,Data!$B$2:$B$231,"Rejected")</f>
        <v>3</v>
      </c>
      <c r="F12" s="13" t="n">
        <f aca="false">COUNTIFS(Data!$T$2:$T$231,A12,Data!$B$2:$B$231,"Cancelled")</f>
        <v>2</v>
      </c>
      <c r="G12" s="20"/>
      <c r="H12" s="20"/>
    </row>
    <row r="13" customFormat="false" ht="15" hidden="false" customHeight="false" outlineLevel="0" collapsed="false">
      <c r="A13" s="13" t="s">
        <v>324</v>
      </c>
      <c r="B13" s="13" t="n">
        <f aca="false">COUNTIF(Data!$T$2:$T$231,A13)</f>
        <v>16</v>
      </c>
      <c r="C13" s="13" t="n">
        <f aca="false">COUNTIFS(Data!$T$2:$T$231,A13,Data!$B$2:$B$231,"Approved")</f>
        <v>9</v>
      </c>
      <c r="D13" s="13" t="n">
        <f aca="false">COUNTIFS(Data!$T$2:$T$231,A13,Data!$B$2:$B$231,"Pending")</f>
        <v>0</v>
      </c>
      <c r="E13" s="13" t="n">
        <f aca="false">COUNTIFS(Data!$T$2:$T$231,A13,Data!$B$2:$B$231,"Rejected")</f>
        <v>2</v>
      </c>
      <c r="F13" s="13" t="n">
        <f aca="false">COUNTIFS(Data!$T$2:$T$231,A13,Data!$B$2:$B$231,"Cancelled")</f>
        <v>5</v>
      </c>
      <c r="G13" s="20"/>
      <c r="H13" s="20"/>
    </row>
    <row r="14" customFormat="false" ht="15" hidden="false" customHeight="false" outlineLevel="0" collapsed="false">
      <c r="A14" s="13" t="s">
        <v>325</v>
      </c>
      <c r="B14" s="13" t="n">
        <f aca="false">COUNTIF(Data!$T$2:$T$231,A14)</f>
        <v>14</v>
      </c>
      <c r="C14" s="13" t="n">
        <f aca="false">COUNTIFS(Data!$T$2:$T$231,A14,Data!$B$2:$B$231,"Approved")</f>
        <v>4</v>
      </c>
      <c r="D14" s="13" t="n">
        <f aca="false">COUNTIFS(Data!$T$2:$T$231,A14,Data!$B$2:$B$231,"Pending")</f>
        <v>3</v>
      </c>
      <c r="E14" s="13" t="n">
        <f aca="false">COUNTIFS(Data!$T$2:$T$231,A14,Data!$B$2:$B$231,"Rejected")</f>
        <v>5</v>
      </c>
      <c r="F14" s="13" t="n">
        <f aca="false">COUNTIFS(Data!$T$2:$T$231,A14,Data!$B$2:$B$231,"Cancelled")</f>
        <v>2</v>
      </c>
      <c r="G14" s="20"/>
      <c r="H14" s="20"/>
    </row>
    <row r="15" customFormat="false" ht="15" hidden="false" customHeight="false" outlineLevel="0" collapsed="false">
      <c r="A15" s="13" t="s">
        <v>326</v>
      </c>
      <c r="B15" s="13" t="n">
        <f aca="false">COUNTIF(Data!$T$2:$T$231,A15)</f>
        <v>24</v>
      </c>
      <c r="C15" s="13" t="n">
        <f aca="false">COUNTIFS(Data!$T$2:$T$231,A15,Data!$B$2:$B$231,"Approved")</f>
        <v>15</v>
      </c>
      <c r="D15" s="13" t="n">
        <f aca="false">COUNTIFS(Data!$T$2:$T$231,A15,Data!$B$2:$B$231,"Pending")</f>
        <v>4</v>
      </c>
      <c r="E15" s="13" t="n">
        <f aca="false">COUNTIFS(Data!$T$2:$T$231,A15,Data!$B$2:$B$231,"Rejected")</f>
        <v>1</v>
      </c>
      <c r="F15" s="13" t="n">
        <f aca="false">COUNTIFS(Data!$T$2:$T$231,A15,Data!$B$2:$B$231,"Cancelled")</f>
        <v>4</v>
      </c>
      <c r="G15" s="20"/>
      <c r="H15" s="20"/>
    </row>
    <row r="16" customFormat="false" ht="15" hidden="false" customHeight="false" outlineLevel="0" collapsed="false">
      <c r="A16" s="13" t="s">
        <v>327</v>
      </c>
      <c r="B16" s="13" t="n">
        <f aca="false">COUNTIF(Data!$T$2:$T$231,A16)</f>
        <v>20</v>
      </c>
      <c r="C16" s="13" t="n">
        <f aca="false">COUNTIFS(Data!$T$2:$T$231,A16,Data!$B$2:$B$231,"Approved")</f>
        <v>12</v>
      </c>
      <c r="D16" s="13" t="n">
        <f aca="false">COUNTIFS(Data!$T$2:$T$231,A16,Data!$B$2:$B$231,"Pending")</f>
        <v>1</v>
      </c>
      <c r="E16" s="13" t="n">
        <f aca="false">COUNTIFS(Data!$T$2:$T$231,A16,Data!$B$2:$B$231,"Rejected")</f>
        <v>3</v>
      </c>
      <c r="F16" s="13" t="n">
        <f aca="false">COUNTIFS(Data!$T$2:$T$231,A16,Data!$B$2:$B$231,"Cancelled")</f>
        <v>4</v>
      </c>
      <c r="G16" s="20"/>
      <c r="H16" s="20"/>
    </row>
    <row r="17" customFormat="false" ht="15" hidden="false" customHeight="false" outlineLevel="0" collapsed="false">
      <c r="A17" s="13" t="s">
        <v>328</v>
      </c>
      <c r="B17" s="13" t="n">
        <f aca="false">COUNTIF(Data!$T$2:$T$231,A17)</f>
        <v>14</v>
      </c>
      <c r="C17" s="13" t="n">
        <f aca="false">COUNTIFS(Data!$T$2:$T$231,A17,Data!$B$2:$B$231,"Approved")</f>
        <v>11</v>
      </c>
      <c r="D17" s="13" t="n">
        <f aca="false">COUNTIFS(Data!$T$2:$T$231,A17,Data!$B$2:$B$231,"Pending")</f>
        <v>1</v>
      </c>
      <c r="E17" s="13" t="n">
        <f aca="false">COUNTIFS(Data!$T$2:$T$231,A17,Data!$B$2:$B$231,"Rejected")</f>
        <v>1</v>
      </c>
      <c r="F17" s="13" t="n">
        <f aca="false">COUNTIFS(Data!$T$2:$T$231,A17,Data!$B$2:$B$231,"Cancelled")</f>
        <v>1</v>
      </c>
      <c r="G17" s="20"/>
      <c r="H17" s="20"/>
    </row>
    <row r="18" customFormat="false" ht="15" hidden="false" customHeight="false" outlineLevel="0" collapsed="false">
      <c r="A18" s="13" t="s">
        <v>329</v>
      </c>
      <c r="B18" s="13" t="n">
        <f aca="false">COUNTIF(Data!$T$2:$T$231,A18)</f>
        <v>16</v>
      </c>
      <c r="C18" s="13" t="n">
        <f aca="false">COUNTIFS(Data!$T$2:$T$231,A18,Data!$B$2:$B$231,"Approved")</f>
        <v>6</v>
      </c>
      <c r="D18" s="13" t="n">
        <f aca="false">COUNTIFS(Data!$T$2:$T$231,A18,Data!$B$2:$B$231,"Pending")</f>
        <v>4</v>
      </c>
      <c r="E18" s="13" t="n">
        <f aca="false">COUNTIFS(Data!$T$2:$T$231,A18,Data!$B$2:$B$231,"Rejected")</f>
        <v>3</v>
      </c>
      <c r="F18" s="13" t="n">
        <f aca="false">COUNTIFS(Data!$T$2:$T$231,A18,Data!$B$2:$B$231,"Cancelled")</f>
        <v>3</v>
      </c>
      <c r="G18" s="20"/>
      <c r="H18" s="20"/>
    </row>
    <row r="19" customFormat="false" ht="15" hidden="false" customHeight="false" outlineLevel="0" collapsed="false">
      <c r="A19" s="13" t="s">
        <v>330</v>
      </c>
      <c r="B19" s="13" t="n">
        <f aca="false">COUNTIF(Data!$T$2:$T$231,A19)</f>
        <v>21</v>
      </c>
      <c r="C19" s="13" t="n">
        <f aca="false">COUNTIFS(Data!$T$2:$T$231,A19,Data!$B$2:$B$231,"Approved")</f>
        <v>14</v>
      </c>
      <c r="D19" s="13" t="n">
        <f aca="false">COUNTIFS(Data!$T$2:$T$231,A19,Data!$B$2:$B$231,"Pending")</f>
        <v>2</v>
      </c>
      <c r="E19" s="13" t="n">
        <f aca="false">COUNTIFS(Data!$T$2:$T$231,A19,Data!$B$2:$B$231,"Rejected")</f>
        <v>1</v>
      </c>
      <c r="F19" s="13" t="n">
        <f aca="false">COUNTIFS(Data!$T$2:$T$231,A19,Data!$B$2:$B$231,"Cancelled")</f>
        <v>4</v>
      </c>
      <c r="G19" s="20"/>
      <c r="H19" s="20"/>
    </row>
    <row r="20" customFormat="false" ht="15" hidden="false" customHeight="false" outlineLevel="0" collapsed="false">
      <c r="A20" s="13" t="s">
        <v>331</v>
      </c>
      <c r="B20" s="13" t="n">
        <f aca="false">COUNTIF(Data!$T$2:$T$231,A20)</f>
        <v>14</v>
      </c>
      <c r="C20" s="13" t="n">
        <f aca="false">COUNTIFS(Data!$T$2:$T$231,A20,Data!$B$2:$B$231,"Approved")</f>
        <v>7</v>
      </c>
      <c r="D20" s="13" t="n">
        <f aca="false">COUNTIFS(Data!$T$2:$T$231,A20,Data!$B$2:$B$231,"Pending")</f>
        <v>2</v>
      </c>
      <c r="E20" s="13" t="n">
        <f aca="false">COUNTIFS(Data!$T$2:$T$231,A20,Data!$B$2:$B$231,"Rejected")</f>
        <v>3</v>
      </c>
      <c r="F20" s="13" t="n">
        <f aca="false">COUNTIFS(Data!$T$2:$T$231,A20,Data!$B$2:$B$231,"Cancelled")</f>
        <v>2</v>
      </c>
      <c r="G20" s="20"/>
      <c r="H20" s="20"/>
    </row>
    <row r="21" customFormat="false" ht="15" hidden="false" customHeight="false" outlineLevel="0" collapsed="false">
      <c r="A21" s="13" t="s">
        <v>332</v>
      </c>
      <c r="B21" s="13" t="n">
        <f aca="false">COUNTIF(Data!$T$2:$T$231,A21)</f>
        <v>23</v>
      </c>
      <c r="C21" s="13" t="n">
        <f aca="false">COUNTIFS(Data!$T$2:$T$231,A21,Data!$B$2:$B$231,"Approved")</f>
        <v>9</v>
      </c>
      <c r="D21" s="13" t="n">
        <f aca="false">COUNTIFS(Data!$T$2:$T$231,A21,Data!$B$2:$B$231,"Pending")</f>
        <v>4</v>
      </c>
      <c r="E21" s="13" t="n">
        <f aca="false">COUNTIFS(Data!$T$2:$T$231,A21,Data!$B$2:$B$231,"Rejected")</f>
        <v>3</v>
      </c>
      <c r="F21" s="13" t="n">
        <f aca="false">COUNTIFS(Data!$T$2:$T$231,A21,Data!$B$2:$B$231,"Cancelled")</f>
        <v>7</v>
      </c>
      <c r="G21" s="20"/>
      <c r="H21" s="20"/>
    </row>
    <row r="22" customFormat="false" ht="15" hidden="false" customHeight="false" outlineLevel="0" collapsed="false">
      <c r="A22" s="13" t="s">
        <v>333</v>
      </c>
      <c r="B22" s="13" t="n">
        <f aca="false">COUNTIF(Data!$T$2:$T$231,A22)</f>
        <v>27</v>
      </c>
      <c r="C22" s="13" t="n">
        <f aca="false">COUNTIFS(Data!$T$2:$T$231,A22,Data!$B$2:$B$231,"Approved")</f>
        <v>10</v>
      </c>
      <c r="D22" s="13" t="n">
        <f aca="false">COUNTIFS(Data!$T$2:$T$231,A22,Data!$B$2:$B$231,"Pending")</f>
        <v>10</v>
      </c>
      <c r="E22" s="13" t="n">
        <f aca="false">COUNTIFS(Data!$T$2:$T$231,A22,Data!$B$2:$B$231,"Rejected")</f>
        <v>5</v>
      </c>
      <c r="F22" s="13" t="n">
        <f aca="false">COUNTIFS(Data!$T$2:$T$231,A22,Data!$B$2:$B$231,"Cancelled")</f>
        <v>2</v>
      </c>
      <c r="G22" s="20"/>
      <c r="H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</row>
    <row r="24" customFormat="false" ht="15" hidden="false" customHeight="false" outlineLevel="0" collapsed="false">
      <c r="A24" s="19" t="s">
        <v>334</v>
      </c>
      <c r="B24" s="19"/>
      <c r="C24" s="20"/>
      <c r="D24" s="19" t="s">
        <v>335</v>
      </c>
      <c r="E24" s="19"/>
      <c r="F24" s="19" t="s">
        <v>336</v>
      </c>
      <c r="G24" s="19"/>
      <c r="H24" s="20"/>
    </row>
    <row r="25" customFormat="false" ht="15" hidden="false" customHeight="false" outlineLevel="0" collapsed="false">
      <c r="A25" s="21" t="s">
        <v>21</v>
      </c>
      <c r="B25" s="21" t="s">
        <v>318</v>
      </c>
      <c r="C25" s="20"/>
      <c r="D25" s="21" t="s">
        <v>18</v>
      </c>
      <c r="E25" s="21" t="s">
        <v>318</v>
      </c>
      <c r="F25" s="21" t="s">
        <v>23</v>
      </c>
      <c r="G25" s="21" t="s">
        <v>318</v>
      </c>
      <c r="H25" s="20"/>
    </row>
    <row r="26" customFormat="false" ht="15" hidden="false" customHeight="false" outlineLevel="0" collapsed="false">
      <c r="A26" s="13" t="s">
        <v>59</v>
      </c>
      <c r="B26" s="13" t="n">
        <f aca="false">COUNTIF(Data!$J$2:$J$231,A26)</f>
        <v>41</v>
      </c>
      <c r="C26" s="20"/>
      <c r="D26" s="13" t="s">
        <v>66</v>
      </c>
      <c r="E26" s="13" t="n">
        <f aca="false">COUNTIF(Data!$G$2:$G$231,D26)</f>
        <v>127</v>
      </c>
      <c r="F26" s="13" t="s">
        <v>60</v>
      </c>
      <c r="G26" s="13" t="n">
        <f aca="false">COUNTIF(Data!$L$2:$L$231,F26)</f>
        <v>160</v>
      </c>
      <c r="H26" s="20"/>
    </row>
    <row r="27" customFormat="false" ht="15" hidden="false" customHeight="false" outlineLevel="0" collapsed="false">
      <c r="A27" s="13" t="s">
        <v>71</v>
      </c>
      <c r="B27" s="13" t="n">
        <f aca="false">COUNTIF(Data!$J$2:$J$231,A27)</f>
        <v>47</v>
      </c>
      <c r="C27" s="20"/>
      <c r="D27" s="13" t="s">
        <v>41</v>
      </c>
      <c r="E27" s="13" t="n">
        <f aca="false">COUNTIF(Data!$G$2:$G$231,D27)</f>
        <v>103</v>
      </c>
      <c r="F27" s="13" t="s">
        <v>46</v>
      </c>
      <c r="G27" s="13" t="n">
        <f aca="false">COUNTIF(Data!$L$2:$L$231,F27)</f>
        <v>70</v>
      </c>
      <c r="H27" s="20"/>
    </row>
    <row r="28" customFormat="false" ht="15" hidden="false" customHeight="false" outlineLevel="0" collapsed="false">
      <c r="A28" s="13" t="s">
        <v>131</v>
      </c>
      <c r="B28" s="13" t="n">
        <f aca="false">COUNTIF(Data!$J$2:$J$231,A28)</f>
        <v>36</v>
      </c>
      <c r="C28" s="20"/>
      <c r="D28" s="20"/>
      <c r="E28" s="20"/>
      <c r="F28" s="20"/>
      <c r="G28" s="20"/>
      <c r="H28" s="20"/>
    </row>
    <row r="29" customFormat="false" ht="15" hidden="false" customHeight="false" outlineLevel="0" collapsed="false">
      <c r="A29" s="13" t="s">
        <v>44</v>
      </c>
      <c r="B29" s="13" t="n">
        <f aca="false">COUNTIF(Data!$J$2:$J$231,A29)</f>
        <v>106</v>
      </c>
      <c r="C29" s="20"/>
      <c r="D29" s="20"/>
      <c r="E29" s="20"/>
      <c r="F29" s="20"/>
      <c r="G29" s="20"/>
      <c r="H29" s="20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</row>
    <row r="32" customFormat="false" ht="15" hidden="false" customHeight="false" outlineLevel="0" collapsed="false">
      <c r="A32" s="19" t="s">
        <v>337</v>
      </c>
      <c r="B32" s="19"/>
      <c r="C32" s="19"/>
      <c r="D32" s="19"/>
      <c r="E32" s="20"/>
      <c r="F32" s="20"/>
      <c r="G32" s="20"/>
      <c r="H32" s="20"/>
    </row>
    <row r="33" customFormat="false" ht="23.85" hidden="false" customHeight="false" outlineLevel="0" collapsed="false">
      <c r="A33" s="21" t="s">
        <v>17</v>
      </c>
      <c r="B33" s="21" t="s">
        <v>338</v>
      </c>
      <c r="C33" s="21" t="s">
        <v>39</v>
      </c>
      <c r="D33" s="21" t="s">
        <v>339</v>
      </c>
      <c r="E33" s="20"/>
      <c r="F33" s="20"/>
      <c r="G33" s="20"/>
      <c r="H33" s="20"/>
    </row>
    <row r="34" customFormat="false" ht="15" hidden="false" customHeight="false" outlineLevel="0" collapsed="false">
      <c r="A34" s="13" t="s">
        <v>52</v>
      </c>
      <c r="B34" s="13" t="n">
        <f aca="false">COUNTIF(Data!$F$2:$F$231,A34)</f>
        <v>39</v>
      </c>
      <c r="C34" s="13" t="n">
        <f aca="false">COUNTIFS(Data!$F$2:$F$231,A34,Data!$B$2:$B$231,"Approved")</f>
        <v>22</v>
      </c>
      <c r="D34" s="22" t="n">
        <f aca="false">IF(B34=0,0,C34/B34)</f>
        <v>0.564102564102564</v>
      </c>
      <c r="E34" s="20"/>
      <c r="F34" s="20"/>
      <c r="G34" s="20"/>
      <c r="H34" s="20"/>
    </row>
    <row r="35" customFormat="false" ht="15" hidden="false" customHeight="false" outlineLevel="0" collapsed="false">
      <c r="A35" s="13" t="s">
        <v>96</v>
      </c>
      <c r="B35" s="13" t="n">
        <f aca="false">COUNTIF(Data!$F$2:$F$231,A35)</f>
        <v>34</v>
      </c>
      <c r="C35" s="13" t="n">
        <f aca="false">COUNTIFS(Data!$F$2:$F$231,A35,Data!$B$2:$B$231,"Approved")</f>
        <v>20</v>
      </c>
      <c r="D35" s="22" t="n">
        <f aca="false">IF(B35=0,0,C35/B35)</f>
        <v>0.588235294117647</v>
      </c>
      <c r="E35" s="20"/>
      <c r="F35" s="20"/>
      <c r="G35" s="20"/>
      <c r="H35" s="20"/>
    </row>
    <row r="36" customFormat="false" ht="15" hidden="false" customHeight="false" outlineLevel="0" collapsed="false">
      <c r="A36" s="13" t="s">
        <v>88</v>
      </c>
      <c r="B36" s="13" t="n">
        <f aca="false">COUNTIF(Data!$F$2:$F$231,A36)</f>
        <v>38</v>
      </c>
      <c r="C36" s="13" t="n">
        <f aca="false">COUNTIFS(Data!$F$2:$F$231,A36,Data!$B$2:$B$231,"Approved")</f>
        <v>19</v>
      </c>
      <c r="D36" s="22" t="n">
        <f aca="false">IF(B36=0,0,C36/B36)</f>
        <v>0.5</v>
      </c>
      <c r="E36" s="20"/>
      <c r="F36" s="20"/>
      <c r="G36" s="20"/>
      <c r="H36" s="20"/>
    </row>
    <row r="37" customFormat="false" ht="15" hidden="false" customHeight="false" outlineLevel="0" collapsed="false">
      <c r="A37" s="13" t="s">
        <v>40</v>
      </c>
      <c r="B37" s="13" t="n">
        <f aca="false">COUNTIF(Data!$F$2:$F$231,A37)</f>
        <v>32</v>
      </c>
      <c r="C37" s="13" t="n">
        <f aca="false">COUNTIFS(Data!$F$2:$F$231,A37,Data!$B$2:$B$231,"Approved")</f>
        <v>18</v>
      </c>
      <c r="D37" s="22" t="n">
        <f aca="false">IF(B37=0,0,C37/B37)</f>
        <v>0.5625</v>
      </c>
      <c r="E37" s="20"/>
      <c r="F37" s="20"/>
      <c r="G37" s="20"/>
      <c r="H37" s="20"/>
    </row>
    <row r="38" customFormat="false" ht="15" hidden="false" customHeight="false" outlineLevel="0" collapsed="false">
      <c r="A38" s="13" t="s">
        <v>73</v>
      </c>
      <c r="B38" s="13" t="n">
        <f aca="false">COUNTIF(Data!$F$2:$F$231,A38)</f>
        <v>49</v>
      </c>
      <c r="C38" s="13" t="n">
        <f aca="false">COUNTIFS(Data!$F$2:$F$231,A38,Data!$B$2:$B$231,"Approved")</f>
        <v>25</v>
      </c>
      <c r="D38" s="22" t="n">
        <f aca="false">IF(B38=0,0,C38/B38)</f>
        <v>0.510204081632653</v>
      </c>
      <c r="E38" s="20"/>
      <c r="F38" s="20"/>
      <c r="G38" s="20"/>
      <c r="H38" s="20"/>
    </row>
    <row r="39" customFormat="false" ht="15" hidden="false" customHeight="false" outlineLevel="0" collapsed="false">
      <c r="A39" s="13" t="s">
        <v>58</v>
      </c>
      <c r="B39" s="13" t="n">
        <f aca="false">COUNTIF(Data!$F$2:$F$231,A39)</f>
        <v>38</v>
      </c>
      <c r="C39" s="13" t="n">
        <f aca="false">COUNTIFS(Data!$F$2:$F$231,A39,Data!$B$2:$B$231,"Approved")</f>
        <v>21</v>
      </c>
      <c r="D39" s="22" t="n">
        <f aca="false">IF(B39=0,0,C39/B39)</f>
        <v>0.552631578947369</v>
      </c>
      <c r="E39" s="20"/>
      <c r="F39" s="20"/>
      <c r="G39" s="20"/>
      <c r="H39" s="20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</row>
    <row r="42" customFormat="false" ht="15" hidden="false" customHeight="false" outlineLevel="0" collapsed="false">
      <c r="A42" s="19" t="s">
        <v>340</v>
      </c>
      <c r="B42" s="19"/>
      <c r="C42" s="20"/>
      <c r="D42" s="19" t="s">
        <v>341</v>
      </c>
      <c r="E42" s="19"/>
      <c r="F42" s="20"/>
      <c r="G42" s="20"/>
      <c r="H42" s="20"/>
    </row>
    <row r="43" customFormat="false" ht="23.85" hidden="false" customHeight="false" outlineLevel="0" collapsed="false">
      <c r="A43" s="21" t="s">
        <v>24</v>
      </c>
      <c r="B43" s="21" t="s">
        <v>342</v>
      </c>
      <c r="C43" s="20"/>
      <c r="D43" s="21" t="s">
        <v>25</v>
      </c>
      <c r="E43" s="21" t="s">
        <v>343</v>
      </c>
      <c r="F43" s="20"/>
      <c r="G43" s="20"/>
      <c r="H43" s="20"/>
    </row>
    <row r="44" customFormat="false" ht="15" hidden="false" customHeight="false" outlineLevel="0" collapsed="false">
      <c r="A44" s="13" t="s">
        <v>54</v>
      </c>
      <c r="B44" s="13" t="n">
        <f aca="false">COUNTIF(Data!$M$2:$M$231,A44)</f>
        <v>34</v>
      </c>
      <c r="C44" s="20"/>
      <c r="D44" s="13" t="s">
        <v>48</v>
      </c>
      <c r="E44" s="13" t="n">
        <f aca="false">COUNTIF(Data!$N$2:$N$231,D44)</f>
        <v>31</v>
      </c>
      <c r="F44" s="20"/>
      <c r="G44" s="20"/>
      <c r="H44" s="20"/>
    </row>
    <row r="45" customFormat="false" ht="15" hidden="false" customHeight="false" outlineLevel="0" collapsed="false">
      <c r="A45" s="13" t="s">
        <v>47</v>
      </c>
      <c r="B45" s="13" t="n">
        <f aca="false">COUNTIF(Data!$M$2:$M$231,A45)</f>
        <v>39</v>
      </c>
      <c r="C45" s="20"/>
      <c r="D45" s="13" t="s">
        <v>62</v>
      </c>
      <c r="E45" s="13" t="n">
        <f aca="false">COUNTIF(Data!$N$2:$N$231,D45)</f>
        <v>33</v>
      </c>
      <c r="F45" s="20"/>
      <c r="G45" s="20"/>
      <c r="H45" s="20"/>
    </row>
    <row r="46" customFormat="false" ht="15" hidden="false" customHeight="false" outlineLevel="0" collapsed="false">
      <c r="A46" s="13" t="s">
        <v>61</v>
      </c>
      <c r="B46" s="13" t="n">
        <f aca="false">COUNTIF(Data!$M$2:$M$231,A46)</f>
        <v>27</v>
      </c>
      <c r="C46" s="20"/>
      <c r="D46" s="13" t="s">
        <v>79</v>
      </c>
      <c r="E46" s="13" t="n">
        <f aca="false">COUNTIF(Data!$N$2:$N$231,D46)</f>
        <v>32</v>
      </c>
      <c r="F46" s="20"/>
      <c r="G46" s="20"/>
      <c r="H46" s="20"/>
    </row>
    <row r="47" customFormat="false" ht="15" hidden="false" customHeight="false" outlineLevel="0" collapsed="false">
      <c r="A47" s="13" t="s">
        <v>90</v>
      </c>
      <c r="B47" s="13" t="n">
        <f aca="false">COUNTIF(Data!$M$2:$M$231,A47)</f>
        <v>25</v>
      </c>
      <c r="C47" s="20"/>
      <c r="D47" s="13" t="s">
        <v>55</v>
      </c>
      <c r="E47" s="13" t="n">
        <f aca="false">COUNTIF(Data!$N$2:$N$231,D47)</f>
        <v>29</v>
      </c>
      <c r="F47" s="20"/>
      <c r="G47" s="20"/>
      <c r="H47" s="20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</row>
    <row r="50" customFormat="false" ht="15" hidden="false" customHeight="false" outlineLevel="0" collapsed="false">
      <c r="A50" s="19" t="s">
        <v>344</v>
      </c>
      <c r="B50" s="19"/>
      <c r="C50" s="20"/>
      <c r="D50" s="20"/>
      <c r="E50" s="20"/>
      <c r="F50" s="20"/>
      <c r="G50" s="20"/>
      <c r="H50" s="20"/>
    </row>
    <row r="51" customFormat="false" ht="15" hidden="false" customHeight="false" outlineLevel="0" collapsed="false">
      <c r="A51" s="21" t="s">
        <v>345</v>
      </c>
      <c r="B51" s="21" t="s">
        <v>346</v>
      </c>
      <c r="C51" s="20"/>
      <c r="D51" s="20"/>
      <c r="E51" s="20"/>
      <c r="F51" s="20"/>
      <c r="G51" s="20"/>
      <c r="H51" s="20"/>
    </row>
    <row r="52" customFormat="false" ht="15" hidden="false" customHeight="false" outlineLevel="0" collapsed="false">
      <c r="A52" s="13" t="s">
        <v>347</v>
      </c>
      <c r="B52" s="24" t="n">
        <f aca="false">ROUND(AVERAGE(Data!$V$2:$V$231),1)</f>
        <v>4.2</v>
      </c>
      <c r="C52" s="20"/>
      <c r="D52" s="20"/>
      <c r="E52" s="20"/>
      <c r="F52" s="20"/>
      <c r="G52" s="20"/>
      <c r="H52" s="20"/>
    </row>
    <row r="53" customFormat="false" ht="15" hidden="false" customHeight="false" outlineLevel="0" collapsed="false">
      <c r="A53" s="13" t="s">
        <v>348</v>
      </c>
      <c r="B53" s="24" t="n">
        <f aca="false">IFERROR(ROUND(AVERAGE(Data!$X$2:$X$231),1),0)</f>
        <v>86.4</v>
      </c>
      <c r="C53" s="20"/>
      <c r="D53" s="20"/>
      <c r="E53" s="20"/>
      <c r="F53" s="20"/>
      <c r="G53" s="20"/>
      <c r="H53" s="20"/>
    </row>
    <row r="54" customFormat="false" ht="15" hidden="false" customHeight="false" outlineLevel="0" collapsed="false">
      <c r="A54" s="13" t="s">
        <v>349</v>
      </c>
      <c r="B54" s="25" t="n">
        <f aca="false">IFERROR(MAX(Data!$Z$2:$Z$231),0)</f>
        <v>355</v>
      </c>
      <c r="C54" s="20"/>
      <c r="D54" s="20"/>
      <c r="E54" s="20"/>
      <c r="F54" s="20"/>
      <c r="G54" s="20"/>
      <c r="H54" s="20"/>
    </row>
    <row r="55" customFormat="false" ht="15" hidden="false" customHeight="false" outlineLevel="0" collapsed="false">
      <c r="A55" s="13" t="s">
        <v>350</v>
      </c>
      <c r="B55" s="25" t="n">
        <f aca="false">COUNTIF(Data!$Y$2:$Y$231,"Yes")+COUNTIF(Data!$Y$2:$Y$231,"No")</f>
        <v>125</v>
      </c>
      <c r="C55" s="20"/>
      <c r="D55" s="20"/>
      <c r="E55" s="20"/>
      <c r="F55" s="20"/>
      <c r="G55" s="20"/>
      <c r="H55" s="20"/>
    </row>
    <row r="56" customFormat="false" ht="15" hidden="false" customHeight="false" outlineLevel="0" collapsed="false">
      <c r="A56" s="13" t="s">
        <v>36</v>
      </c>
      <c r="B56" s="25" t="n">
        <f aca="false">COUNTIF(Data!$Y$2:$Y$231,"Yes")</f>
        <v>100</v>
      </c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13" t="s">
        <v>351</v>
      </c>
      <c r="B57" s="25" t="n">
        <f aca="false">COUNTIF(Data!$Y$2:$Y$231,"No")</f>
        <v>25</v>
      </c>
      <c r="C57" s="20"/>
      <c r="D57" s="20"/>
      <c r="E57" s="20"/>
      <c r="F57" s="20"/>
      <c r="G57" s="20"/>
      <c r="H57" s="20"/>
    </row>
    <row r="58" customFormat="false" ht="15" hidden="false" customHeight="false" outlineLevel="0" collapsed="false">
      <c r="A58" s="13" t="s">
        <v>352</v>
      </c>
      <c r="B58" s="22" t="n">
        <f aca="false">IFERROR(B56/B55,0)</f>
        <v>0.8</v>
      </c>
      <c r="C58" s="20"/>
      <c r="D58" s="20"/>
      <c r="E58" s="20"/>
      <c r="F58" s="20"/>
      <c r="G58" s="20"/>
      <c r="H58" s="20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</row>
    <row r="60" customFormat="false" ht="15" hidden="false" customHeight="false" outlineLevel="0" collapsed="false">
      <c r="A60" s="19" t="s">
        <v>353</v>
      </c>
      <c r="B60" s="19"/>
      <c r="C60" s="19"/>
      <c r="D60" s="19"/>
      <c r="E60" s="20"/>
      <c r="F60" s="20"/>
      <c r="G60" s="20"/>
      <c r="H60" s="20"/>
    </row>
    <row r="61" customFormat="false" ht="15" hidden="false" customHeight="false" outlineLevel="0" collapsed="false">
      <c r="A61" s="21" t="s">
        <v>345</v>
      </c>
      <c r="B61" s="21" t="s">
        <v>346</v>
      </c>
      <c r="C61" s="20"/>
      <c r="D61" s="20"/>
      <c r="E61" s="20"/>
      <c r="F61" s="20"/>
      <c r="G61" s="20"/>
      <c r="H61" s="20"/>
    </row>
    <row r="62" customFormat="false" ht="15" hidden="false" customHeight="false" outlineLevel="0" collapsed="false">
      <c r="A62" s="13" t="s">
        <v>354</v>
      </c>
      <c r="B62" s="26" t="n">
        <f aca="false">SUM(Data!$Q$2:$Q$231)</f>
        <v>0</v>
      </c>
      <c r="C62" s="20"/>
      <c r="D62" s="20"/>
      <c r="E62" s="20"/>
      <c r="F62" s="20"/>
      <c r="G62" s="20"/>
      <c r="H62" s="20"/>
    </row>
    <row r="63" customFormat="false" ht="15" hidden="false" customHeight="false" outlineLevel="0" collapsed="false">
      <c r="A63" s="13" t="s">
        <v>355</v>
      </c>
      <c r="B63" s="26" t="n">
        <f aca="false">IFERROR(AVERAGE(Data!$Q$2:$Q$231),0)</f>
        <v>0</v>
      </c>
      <c r="C63" s="20"/>
      <c r="D63" s="20"/>
      <c r="E63" s="20"/>
      <c r="F63" s="20"/>
      <c r="G63" s="20"/>
      <c r="H63" s="20"/>
    </row>
    <row r="64" customFormat="false" ht="15" hidden="false" customHeight="false" outlineLevel="0" collapsed="false">
      <c r="A64" s="13" t="s">
        <v>356</v>
      </c>
      <c r="B64" s="25" t="n">
        <f aca="false">COUNT(Data!$Q$2:$Q$231)</f>
        <v>0</v>
      </c>
      <c r="C64" s="20"/>
      <c r="D64" s="20"/>
      <c r="E64" s="20"/>
      <c r="F64" s="20"/>
      <c r="G64" s="20"/>
      <c r="H64" s="20"/>
    </row>
    <row r="65" customFormat="false" ht="15" hidden="false" customHeight="false" outlineLevel="0" collapsed="false">
      <c r="A65" s="13" t="s">
        <v>357</v>
      </c>
      <c r="B65" s="25" t="n">
        <f aca="false">COUNTA(Data!$P$2:$P$231)</f>
        <v>0</v>
      </c>
      <c r="C65" s="20"/>
      <c r="D65" s="20"/>
      <c r="E65" s="20"/>
      <c r="F65" s="20"/>
      <c r="G65" s="20"/>
      <c r="H65" s="20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</row>
  </sheetData>
  <mergeCells count="10">
    <mergeCell ref="A1:C1"/>
    <mergeCell ref="A9:F9"/>
    <mergeCell ref="A24:B24"/>
    <mergeCell ref="D24:E24"/>
    <mergeCell ref="F24:G24"/>
    <mergeCell ref="A32:D32"/>
    <mergeCell ref="A42:B42"/>
    <mergeCell ref="D42:E42"/>
    <mergeCell ref="A50:B50"/>
    <mergeCell ref="A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2026-09-09T08:08:29Z</dcterms:created>
  <dc:creator>openpyxl</dc:creator>
  <dc:description/>
  <dc:language>en-US</dc:language>
  <cp:lastModifiedBy/>
  <dcterms:modified xsi:type="dcterms:W3CDTF">2026-09-09T08:08:32Z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